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Country_Register" sheetId="2" state="visible" r:id="rId4"/>
    <sheet name="02_Milestone_Catalogue" sheetId="3" state="visible" r:id="rId5"/>
    <sheet name="03_Progress_Tracker" sheetId="4" state="visible" r:id="rId6"/>
    <sheet name="04_Matrix_View" sheetId="5" state="visible" r:id="rId7"/>
    <sheet name="05_Results_Framework" sheetId="6" state="visible" r:id="rId8"/>
    <sheet name="06_Indicator_Metadata" sheetId="7" state="visible" r:id="rId9"/>
    <sheet name="07_Tracer_Basket" sheetId="8" state="visible" r:id="rId10"/>
    <sheet name="08_Regional_Dashboard" sheetId="9" state="visible" r:id="rId11"/>
    <sheet name="09_Risk_Register" sheetId="10" state="visible" r:id="rId12"/>
    <sheet name="10_Data_Quality_Log" sheetId="11" state="visible" r:id="rId13"/>
    <sheet name="11_Reference_Lists" sheetId="12" state="visible" r:id="rId14"/>
  </sheets>
  <definedNames>
    <definedName function="false" hidden="true" localSheetId="3" name="_xlnm._FilterDatabase" vbProcedure="false">03_Progress_Tracker!$A$5:$Q$191</definedName>
    <definedName function="false" hidden="true" localSheetId="5" name="_xlnm._FilterDatabase" vbProcedure="false">05_Results_Framework!$A$5:$R$210</definedName>
    <definedName function="false" hidden="true" localSheetId="6" name="_xlnm._FilterDatabase" vbProcedure="false">06_Indicator_Metadata!$A$5:$L$39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<sst xmlns="http://schemas.openxmlformats.org/spreadsheetml/2006/main" count="4781" uniqueCount="911">
  <si>
    <t xml:space="preserve">WHO Regional Office for Africa</t>
  </si>
  <si>
    <t xml:space="preserve">Access to Medicines Tracking System - IGAP and Dementia country implementation</t>
  </si>
  <si>
    <t xml:space="preserve">Version 2.0 (restructured) - Disease Prevention and Control cluster, NCD and Mental Health team</t>
  </si>
  <si>
    <t xml:space="preserve">PURPOSE</t>
  </si>
  <si>
    <t xml:space="preserve">Track, for each participating country, (i) the implementation of the WHO/HAI medicine price, availability, affordability and price components survey, and (ii) the resulting access-to-medicines results indicators for neurological disorders and dementia, in a form that can be aggregated to the regional level and reported against IGAP 2022-2031, the global dementia action plan 2017-2025 and the WHO health system building blocks.</t>
  </si>
  <si>
    <t xml:space="preserve">SCOPE</t>
  </si>
  <si>
    <t xml:space="preserve">Six countries at present: Botswana, Cote d'Ivoire, Ethiopia, Gambia, Malawi, Zambia. The structure is designed to scale to any number of countries without changing any formula.</t>
  </si>
  <si>
    <t xml:space="preserve">HOW TO USE</t>
  </si>
  <si>
    <t xml:space="preserve">1. Country register</t>
  </si>
  <si>
    <t xml:space="preserve">Sheet 01. One row per country. Update focal point, phase and reporting dates here only.</t>
  </si>
  <si>
    <t xml:space="preserve">2. Milestone catalogue</t>
  </si>
  <si>
    <t xml:space="preserve">Sheet 02. The reference list of 31 milestones, their means of verification and their weight. Do not delete rows; add new milestones at the end and extend the tracker accordingly.</t>
  </si>
  <si>
    <t xml:space="preserve">3. Progress tracker</t>
  </si>
  <si>
    <t xml:space="preserve">Sheet 03. The single source of truth for implementation status: one row per country and per milestone. Fill Status, Planned date, Actual date, Evidence reference and Verified. Everything else is calculated.</t>
  </si>
  <si>
    <t xml:space="preserve">4. Matrix view</t>
  </si>
  <si>
    <t xml:space="preserve">Sheet 04. Read-only country-by-milestone view rebuilt by formula from sheet 03, for meetings and printing. Never type into the coloured status area.</t>
  </si>
  <si>
    <t xml:space="preserve">5. Results framework</t>
  </si>
  <si>
    <t xml:space="preserve">Sheet 05. The access-to-medicines indicators themselves (availability, price, affordability, policy and coverage). Enter baseline, target and each measurement round.</t>
  </si>
  <si>
    <t xml:space="preserve">6. Indicator metadata</t>
  </si>
  <si>
    <t xml:space="preserve">Sheet 06. Full definition of every indicator in sheet 05: numerator, denominator, method, source, periodicity, disaggregation and global framework alignment. Read before entering any value.</t>
  </si>
  <si>
    <t xml:space="preserve">7. Tracer basket</t>
  </si>
  <si>
    <t xml:space="preserve">Sheet 07. The medicines and care products actually surveyed, anchored on the WHO Model List of Essential Medicines (24th list, 2025), the WHO/HAI global and sub-Saharan Africa core lists and GDO indicator 10.</t>
  </si>
  <si>
    <t xml:space="preserve">8. Regional dashboard</t>
  </si>
  <si>
    <t xml:space="preserve">Sheet 08. Regional roll-up, fully formula-driven. No manual entry.</t>
  </si>
  <si>
    <t xml:space="preserve">9. Risk register</t>
  </si>
  <si>
    <t xml:space="preserve">Sheet 09. Likelihood x impact scoring, owner, review date and residual risk.</t>
  </si>
  <si>
    <t xml:space="preserve">10. Data quality log</t>
  </si>
  <si>
    <t xml:space="preserve">Sheet 10. Every data issue raised, its resolution and who cleared it.</t>
  </si>
  <si>
    <t xml:space="preserve">11. Reference lists</t>
  </si>
  <si>
    <t xml:space="preserve">Sheet 11. Controlled vocabularies behind the drop-down lists. Edit here to change any list.</t>
  </si>
  <si>
    <t xml:space="preserve">STATUS CODES</t>
  </si>
  <si>
    <t xml:space="preserve">NS = not started | IP = in progress | C = completed | D = delayed (started, past planned date, not completed) | NA = not applicable to this country. Verification is a separate field: a milestone is C when the activity is done and V(erified) = Yes when the means of verification has been received and filed.</t>
  </si>
  <si>
    <t xml:space="preserve">PROGRESS MEASURES</t>
  </si>
  <si>
    <t xml:space="preserve">Two measures are reported, and they are not interchangeable. Milestone completion rate = milestones coded C divided by applicable milestones (strict, audit-friendly). Weighted progress index = sum(weight x score) / sum(weight of applicable milestones), where C = 1.00, IP = 0.50, D = 0.25, NS = 0.00. The 0.50 and 0.25 conventions are arbitrary but explicit; they are declared here so that the figure can be reproduced by anyone.</t>
  </si>
  <si>
    <t xml:space="preserve">COLOUR LEGEND</t>
  </si>
  <si>
    <t xml:space="preserve">Navy header = structure, do not modify. Yellow cell = manual entry expected. White cell with a formula = calculated, do not overwrite. Grey italic = illustrative example, delete before use.</t>
  </si>
  <si>
    <t xml:space="preserve">DATA STATUS WARNING</t>
  </si>
  <si>
    <t xml:space="preserve">All implementation statuses carried over from version 1.0 (dated May 2024) are marked 'v1 carry-over, unverified' in the tracker. They must be re-confirmed with each country focal point and each means of verification filed before the matrix is used for reporting. No value in this workbook should be quoted externally until column 'Verified' reads Yes.</t>
  </si>
  <si>
    <t xml:space="preserve">METHODOLOGICAL REFERENCES</t>
  </si>
  <si>
    <t xml:space="preserve">R1</t>
  </si>
  <si>
    <t xml:space="preserve">WHO and Health Action International. Measuring medicine prices, availability, affordability and price components. 2nd ed. Geneva: WHO; 2008.</t>
  </si>
  <si>
    <t xml:space="preserve">R2</t>
  </si>
  <si>
    <t xml:space="preserve">WHO. Intersectoral global action plan on epilepsy and other neurological disorders 2022-2031. Geneva: WHO; 2023.</t>
  </si>
  <si>
    <t xml:space="preserve">R3</t>
  </si>
  <si>
    <t xml:space="preserve">WHO. Global action plan on the public health response to dementia 2017-2025. Geneva: WHO; 2017.</t>
  </si>
  <si>
    <t xml:space="preserve">R4</t>
  </si>
  <si>
    <t xml:space="preserve">WHO. The Global Dementia Observatory Reference Guide. Geneva: WHO; 2018 (WHO/MSD/MER/18.1).</t>
  </si>
  <si>
    <t xml:space="preserve">R5</t>
  </si>
  <si>
    <t xml:space="preserve">WHO. Monitoring the building blocks of health systems: a handbook of indicators and their measurement strategies. Geneva: WHO; 2010, section 4 (access to essential medicines).</t>
  </si>
  <si>
    <t xml:space="preserve">R6</t>
  </si>
  <si>
    <t xml:space="preserve">WHO. Model List of Essential Medicines, 24th list. Geneva: WHO; 2025.</t>
  </si>
  <si>
    <t xml:space="preserve">R7</t>
  </si>
  <si>
    <t xml:space="preserve">WHO. The selection and use of essential medicines. Technical Report Series No. 1064. Geneva: WHO; 2025.</t>
  </si>
  <si>
    <t xml:space="preserve">R8</t>
  </si>
  <si>
    <t xml:space="preserve">WHO. mhGAP guideline for mental, neurological and substance use disorders. Geneva: WHO; 2023 update.</t>
  </si>
  <si>
    <t xml:space="preserve">CHANGE LOG</t>
  </si>
  <si>
    <t xml:space="preserve">v1.0</t>
  </si>
  <si>
    <t xml:space="preserve">Original consultant submission, four sheets (implementation dashboard, milestone matrix, regional dashboard, risk tracker).</t>
  </si>
  <si>
    <t xml:space="preserve">v2.0</t>
  </si>
  <si>
    <t xml:space="preserve">Restructured into a normalised data model; results indicators added; indicator metadata added; tracer medicines basket added; all roll-ups converted to formulas; controlled vocabularies and validation added; date and formula defects of v1 corrected; data quality log opened.</t>
  </si>
  <si>
    <t xml:space="preserve">WHO Regional Office for Africa - Access to Medicines Tracking System (IGAP / Dementia)</t>
  </si>
  <si>
    <t xml:space="preserve">Sheet 01 - Country register</t>
  </si>
  <si>
    <t xml:space="preserve">Version 2.0 - draft for technical review. Yellow cells are for data entry; white cells are calculated - do not overwrite.</t>
  </si>
  <si>
    <t xml:space="preserve">ISO3</t>
  </si>
  <si>
    <t xml:space="preserve">Country (official short name)</t>
  </si>
  <si>
    <t xml:space="preserve">Project stream</t>
  </si>
  <si>
    <t xml:space="preserve">Survey type</t>
  </si>
  <si>
    <t xml:space="preserve">National focal point (name)</t>
  </si>
  <si>
    <t xml:space="preserve">Institution</t>
  </si>
  <si>
    <t xml:space="preserve">Focal point e-mail</t>
  </si>
  <si>
    <t xml:space="preserve">WHO country office focal point</t>
  </si>
  <si>
    <t xml:space="preserve">Project start date</t>
  </si>
  <si>
    <t xml:space="preserve">Planned survey completion</t>
  </si>
  <si>
    <t xml:space="preserve">Current phase</t>
  </si>
  <si>
    <t xml:space="preserve">Reporting period of last update</t>
  </si>
  <si>
    <t xml:space="preserve">Date of last update</t>
  </si>
  <si>
    <t xml:space="preserve">Data confirmed by country (Yes/No)</t>
  </si>
  <si>
    <t xml:space="preserve">BWA</t>
  </si>
  <si>
    <t xml:space="preserve">Botswana</t>
  </si>
  <si>
    <t xml:space="preserve">IGAP</t>
  </si>
  <si>
    <t xml:space="preserve">National (WHO/HAI)</t>
  </si>
  <si>
    <t xml:space="preserve">Dr K. Kgosi</t>
  </si>
  <si>
    <t xml:space="preserve">Ministry of Health</t>
  </si>
  <si>
    <t xml:space="preserve">P3 Data collection</t>
  </si>
  <si>
    <t xml:space="preserve">No</t>
  </si>
  <si>
    <t xml:space="preserve">MWI</t>
  </si>
  <si>
    <t xml:space="preserve">Malawi</t>
  </si>
  <si>
    <t xml:space="preserve">Dr M. Banda</t>
  </si>
  <si>
    <t xml:space="preserve">P2 Preparation</t>
  </si>
  <si>
    <t xml:space="preserve">CIV</t>
  </si>
  <si>
    <t xml:space="preserve">Côte d'Ivoire</t>
  </si>
  <si>
    <t xml:space="preserve">Dr A. Kone</t>
  </si>
  <si>
    <t xml:space="preserve">P4 Data management and analysis</t>
  </si>
  <si>
    <t xml:space="preserve">ETH</t>
  </si>
  <si>
    <t xml:space="preserve">Ethiopia</t>
  </si>
  <si>
    <t xml:space="preserve">Dr T. Bekele</t>
  </si>
  <si>
    <t xml:space="preserve">ZMB</t>
  </si>
  <si>
    <t xml:space="preserve">Zambia</t>
  </si>
  <si>
    <t xml:space="preserve">Dr C. Chanda</t>
  </si>
  <si>
    <t xml:space="preserve">GMB</t>
  </si>
  <si>
    <t xml:space="preserve">Gambia</t>
  </si>
  <si>
    <t xml:space="preserve">Dementia</t>
  </si>
  <si>
    <t xml:space="preserve">Dr S. Jallow</t>
  </si>
  <si>
    <t xml:space="preserve">P1 Governance and inception</t>
  </si>
  <si>
    <t xml:space="preserve">Focal point names and start dates are carried over from version 1.0 and must be re-confirmed. Project stream for Cote d'Ivoire, Ethiopia and Zambia was recorded as 'Access to Medicines' in v1, which is the project name and not a stream; provisional value entered is IGAP, to be confirmed.</t>
  </si>
  <si>
    <t xml:space="preserve">Sheet 02 - Milestone catalogue (reference list)</t>
  </si>
  <si>
    <t xml:space="preserve">Milestone ID</t>
  </si>
  <si>
    <t xml:space="preserve">Phase</t>
  </si>
  <si>
    <t xml:space="preserve">Milestone</t>
  </si>
  <si>
    <t xml:space="preserve">Milestone indicator</t>
  </si>
  <si>
    <t xml:space="preserve">Means of verification</t>
  </si>
  <si>
    <t xml:space="preserve">Primary responsibility</t>
  </si>
  <si>
    <t xml:space="preserve">Method reference</t>
  </si>
  <si>
    <t xml:space="preserve">Weight</t>
  </si>
  <si>
    <t xml:space="preserve">M01</t>
  </si>
  <si>
    <t xml:space="preserve">Country formally confirmed and terms of participation agreed</t>
  </si>
  <si>
    <t xml:space="preserve">Signed agreement or exchange of letters on file</t>
  </si>
  <si>
    <t xml:space="preserve">Country agreement</t>
  </si>
  <si>
    <t xml:space="preserve">AFRO / WCO</t>
  </si>
  <si>
    <t xml:space="preserve">R1 s2.2</t>
  </si>
  <si>
    <t xml:space="preserve">M02</t>
  </si>
  <si>
    <t xml:space="preserve">National inception meeting conducted</t>
  </si>
  <si>
    <t xml:space="preserve">Inception meeting held with MoH and partners</t>
  </si>
  <si>
    <t xml:space="preserve">Meeting report and attendance list</t>
  </si>
  <si>
    <t xml:space="preserve">WCO / MoH</t>
  </si>
  <si>
    <t xml:space="preserve">M03</t>
  </si>
  <si>
    <t xml:space="preserve">National technical working group established and operational</t>
  </si>
  <si>
    <t xml:space="preserve">TWG constituted with written terms of reference</t>
  </si>
  <si>
    <t xml:space="preserve">TOR and member list</t>
  </si>
  <si>
    <t xml:space="preserve">MoH</t>
  </si>
  <si>
    <t xml:space="preserve">R1 s2.4</t>
  </si>
  <si>
    <t xml:space="preserve">M04</t>
  </si>
  <si>
    <t xml:space="preserve">Survey manager and area supervisors designated</t>
  </si>
  <si>
    <t xml:space="preserve">Survey management team named in writing</t>
  </si>
  <si>
    <t xml:space="preserve">Designation letters</t>
  </si>
  <si>
    <t xml:space="preserve">M05</t>
  </si>
  <si>
    <t xml:space="preserve">Costed survey workplan and budget approved</t>
  </si>
  <si>
    <t xml:space="preserve">Approved budget and timeline available</t>
  </si>
  <si>
    <t xml:space="preserve">Signed workplan and budget</t>
  </si>
  <si>
    <t xml:space="preserve">MoH / WCO</t>
  </si>
  <si>
    <t xml:space="preserve">R1 s2.5</t>
  </si>
  <si>
    <t xml:space="preserve">M06</t>
  </si>
  <si>
    <t xml:space="preserve">Ethics or administrative clearance obtained</t>
  </si>
  <si>
    <t xml:space="preserve">Clearance granted by the competent national body</t>
  </si>
  <si>
    <t xml:space="preserve">Clearance certificate</t>
  </si>
  <si>
    <t xml:space="preserve">R1 s3.1</t>
  </si>
  <si>
    <t xml:space="preserve">M07</t>
  </si>
  <si>
    <t xml:space="preserve">Survey scope agreed (national or sub-national, sectors covered)</t>
  </si>
  <si>
    <t xml:space="preserve">Scope and sectors documented in the protocol</t>
  </si>
  <si>
    <t xml:space="preserve">Approved survey protocol</t>
  </si>
  <si>
    <t xml:space="preserve">TWG</t>
  </si>
  <si>
    <t xml:space="preserve">R1 s3.1.1</t>
  </si>
  <si>
    <t xml:space="preserve">M08</t>
  </si>
  <si>
    <t xml:space="preserve">Six survey areas selected (main urban centre plus five areas)</t>
  </si>
  <si>
    <t xml:space="preserve">Survey areas selected per the standard sampling rule</t>
  </si>
  <si>
    <t xml:space="preserve">Sampling plan with area list</t>
  </si>
  <si>
    <t xml:space="preserve">Survey manager</t>
  </si>
  <si>
    <t xml:space="preserve">R1 s3.1.3</t>
  </si>
  <si>
    <t xml:space="preserve">M09</t>
  </si>
  <si>
    <t xml:space="preserve">Medicine outlet sample drawn per sector, including back-up facilities</t>
  </si>
  <si>
    <t xml:space="preserve">At least five outlets per sector per area, 30 per sector</t>
  </si>
  <si>
    <t xml:space="preserve">Outlet sampling frame</t>
  </si>
  <si>
    <t xml:space="preserve">R1 s3.1.4</t>
  </si>
  <si>
    <t xml:space="preserve">M10</t>
  </si>
  <si>
    <t xml:space="preserve">Survey medicine list finalised (global core, regional core, supplementary tracer basket)</t>
  </si>
  <si>
    <t xml:space="preserve">Final medicine list approved and exclusions justified</t>
  </si>
  <si>
    <t xml:space="preserve">Approved medicine list (see sheet 07)</t>
  </si>
  <si>
    <t xml:space="preserve">R1 s3.1.5</t>
  </si>
  <si>
    <t xml:space="preserve">M11</t>
  </si>
  <si>
    <t xml:space="preserve">Originator brand product identified for each survey medicine</t>
  </si>
  <si>
    <t xml:space="preserve">Originator brand and manufacturer identified per medicine</t>
  </si>
  <si>
    <t xml:space="preserve">Medicine identification table</t>
  </si>
  <si>
    <t xml:space="preserve">R1 s3.2</t>
  </si>
  <si>
    <t xml:space="preserve">M12</t>
  </si>
  <si>
    <t xml:space="preserve">International reference prices obtained for the year preceding the survey</t>
  </si>
  <si>
    <t xml:space="preserve">MSH international reference price file secured</t>
  </si>
  <si>
    <t xml:space="preserve">Reference price file with year</t>
  </si>
  <si>
    <t xml:space="preserve">R1 s3.3</t>
  </si>
  <si>
    <t xml:space="preserve">M13</t>
  </si>
  <si>
    <t xml:space="preserve">Data collection forms and WHO/HAI workbook Part I and Part II configured</t>
  </si>
  <si>
    <t xml:space="preserve">Country-specific forms generated from the workbook</t>
  </si>
  <si>
    <t xml:space="preserve">Generated data collection forms</t>
  </si>
  <si>
    <t xml:space="preserve">R1 s3.4</t>
  </si>
  <si>
    <t xml:space="preserve">M14</t>
  </si>
  <si>
    <t xml:space="preserve">Data collectors and area supervisors trained</t>
  </si>
  <si>
    <t xml:space="preserve">Percentage of planned surveyors trained</t>
  </si>
  <si>
    <t xml:space="preserve">Training report and attendance list</t>
  </si>
  <si>
    <t xml:space="preserve">R1 s4.1</t>
  </si>
  <si>
    <t xml:space="preserve">M15</t>
  </si>
  <si>
    <t xml:space="preserve">Pilot test conducted and tools revised</t>
  </si>
  <si>
    <t xml:space="preserve">Pilot completed and revisions documented</t>
  </si>
  <si>
    <t xml:space="preserve">Pilot report</t>
  </si>
  <si>
    <t xml:space="preserve">R1 s4.2</t>
  </si>
  <si>
    <t xml:space="preserve">M16</t>
  </si>
  <si>
    <t xml:space="preserve">Fieldwork launched</t>
  </si>
  <si>
    <t xml:space="preserve">First facility visit recorded</t>
  </si>
  <si>
    <t xml:space="preserve">Field mission order and first day logs</t>
  </si>
  <si>
    <t xml:space="preserve">Area supervisors</t>
  </si>
  <si>
    <t xml:space="preserve">R1 s4.3</t>
  </si>
  <si>
    <t xml:space="preserve">M17</t>
  </si>
  <si>
    <t xml:space="preserve">Public sector procurement prices collected centrally</t>
  </si>
  <si>
    <t xml:space="preserve">Procurement price file obtained from central medical stores</t>
  </si>
  <si>
    <t xml:space="preserve">Procurement price extract</t>
  </si>
  <si>
    <t xml:space="preserve">R1 s4.4</t>
  </si>
  <si>
    <t xml:space="preserve">M18</t>
  </si>
  <si>
    <t xml:space="preserve">Facility data collection completed, including back-up facilities</t>
  </si>
  <si>
    <t xml:space="preserve">Percentage of sampled outlets visited</t>
  </si>
  <si>
    <t xml:space="preserve">Facility visit log</t>
  </si>
  <si>
    <t xml:space="preserve">M19</t>
  </si>
  <si>
    <t xml:space="preserve">Price components survey completed across the five supply chain stages</t>
  </si>
  <si>
    <t xml:space="preserve">Price components data collected for tracer medicines</t>
  </si>
  <si>
    <t xml:space="preserve">Price components forms</t>
  </si>
  <si>
    <t xml:space="preserve">R1 s4.5</t>
  </si>
  <si>
    <t xml:space="preserve">M20</t>
  </si>
  <si>
    <t xml:space="preserve">Supervisor validation re-survey completed in at least 20 percent of outlets</t>
  </si>
  <si>
    <t xml:space="preserve">Percentage of outlets re-surveyed and concordance rate</t>
  </si>
  <si>
    <t xml:space="preserve">Validation re-survey report</t>
  </si>
  <si>
    <t xml:space="preserve">R1 s4.6</t>
  </si>
  <si>
    <t xml:space="preserve">M21</t>
  </si>
  <si>
    <t xml:space="preserve">Double data entry completed and cross-checked</t>
  </si>
  <si>
    <t xml:space="preserve">Two independent entries reconciled</t>
  </si>
  <si>
    <t xml:space="preserve">Entry reconciliation log</t>
  </si>
  <si>
    <t xml:space="preserve">Data manager</t>
  </si>
  <si>
    <t xml:space="preserve">R1 s5.1</t>
  </si>
  <si>
    <t xml:space="preserve">M22</t>
  </si>
  <si>
    <t xml:space="preserve">Workbook data checker run and flagged values resolved</t>
  </si>
  <si>
    <t xml:space="preserve">All flagged values verified or corrected</t>
  </si>
  <si>
    <t xml:space="preserve">Data checker output and resolution log</t>
  </si>
  <si>
    <t xml:space="preserve">R1 s5.2</t>
  </si>
  <si>
    <t xml:space="preserve">M23</t>
  </si>
  <si>
    <t xml:space="preserve">Analysis completed (availability, price ratios, affordability, price components)</t>
  </si>
  <si>
    <t xml:space="preserve">Analysis outputs generated from the workbook</t>
  </si>
  <si>
    <t xml:space="preserve">Analysis workbook and output tables</t>
  </si>
  <si>
    <t xml:space="preserve">R1 s6</t>
  </si>
  <si>
    <t xml:space="preserve">M24</t>
  </si>
  <si>
    <t xml:space="preserve">Draft survey report prepared in the standard reporting format</t>
  </si>
  <si>
    <t xml:space="preserve">Draft report circulated to the TWG</t>
  </si>
  <si>
    <t xml:space="preserve">Draft report</t>
  </si>
  <si>
    <t xml:space="preserve">R1 s7</t>
  </si>
  <si>
    <t xml:space="preserve">M25</t>
  </si>
  <si>
    <t xml:space="preserve">P5 Validation and policy translation</t>
  </si>
  <si>
    <t xml:space="preserve">National validation workshop conducted</t>
  </si>
  <si>
    <t xml:space="preserve">Workshop held and comments consolidated</t>
  </si>
  <si>
    <t xml:space="preserve">Workshop report</t>
  </si>
  <si>
    <t xml:space="preserve">MoH / TWG</t>
  </si>
  <si>
    <t xml:space="preserve">M26</t>
  </si>
  <si>
    <t xml:space="preserve">Final report approved and disseminated</t>
  </si>
  <si>
    <t xml:space="preserve">Report endorsed by the national authority and shared</t>
  </si>
  <si>
    <t xml:space="preserve">Final report and dissemination note</t>
  </si>
  <si>
    <t xml:space="preserve">M27</t>
  </si>
  <si>
    <t xml:space="preserve">Costed policy action plan on access to medicines developed</t>
  </si>
  <si>
    <t xml:space="preserve">Costed action plan drafted from survey findings</t>
  </si>
  <si>
    <t xml:space="preserve">Draft action plan</t>
  </si>
  <si>
    <t xml:space="preserve">R1 s11</t>
  </si>
  <si>
    <t xml:space="preserve">M28</t>
  </si>
  <si>
    <t xml:space="preserve">Action plan endorsed by the national authority</t>
  </si>
  <si>
    <t xml:space="preserve">Endorsement recorded</t>
  </si>
  <si>
    <t xml:space="preserve">Endorsement letter or minutes</t>
  </si>
  <si>
    <t xml:space="preserve">M29</t>
  </si>
  <si>
    <t xml:space="preserve">Tracer medicines integrated into routine health information reporting</t>
  </si>
  <si>
    <t xml:space="preserve">Tracer medicines reported through LMIS or DHIS2</t>
  </si>
  <si>
    <t xml:space="preserve">Routine reporting extract</t>
  </si>
  <si>
    <t xml:space="preserve">MoH / HIS unit</t>
  </si>
  <si>
    <t xml:space="preserve">R5 s4.2</t>
  </si>
  <si>
    <t xml:space="preserve">M30</t>
  </si>
  <si>
    <t xml:space="preserve">Country reporting to the Global Dementia Observatory or IGAP country reporting completed</t>
  </si>
  <si>
    <t xml:space="preserve">Country submission made</t>
  </si>
  <si>
    <t xml:space="preserve">Submission confirmation</t>
  </si>
  <si>
    <t xml:space="preserve">R2 4.1 / R4</t>
  </si>
  <si>
    <t xml:space="preserve">M31</t>
  </si>
  <si>
    <t xml:space="preserve">Quarterly implementation monitoring initiated</t>
  </si>
  <si>
    <t xml:space="preserve">First quarterly review held</t>
  </si>
  <si>
    <t xml:space="preserve">Quarterly progress report</t>
  </si>
  <si>
    <t xml:space="preserve">WCO / AFRO</t>
  </si>
  <si>
    <t xml:space="preserve">Weight: relative importance of the milestone in the weighted progress index. Default 1 for every milestone. Change the weight here only, never in the tracker.</t>
  </si>
  <si>
    <t xml:space="preserve">Sheet 03 - Progress tracker (single source of truth, one row per country and milestone)</t>
  </si>
  <si>
    <t xml:space="preserve">Key</t>
  </si>
  <si>
    <t xml:space="preserve">Country</t>
  </si>
  <si>
    <t xml:space="preserve">Planned date</t>
  </si>
  <si>
    <t xml:space="preserve">Actual date</t>
  </si>
  <si>
    <t xml:space="preserve">Status</t>
  </si>
  <si>
    <t xml:space="preserve">Score</t>
  </si>
  <si>
    <t xml:space="preserve">Means of verification received (reference or link)</t>
  </si>
  <si>
    <t xml:space="preserve">Verified</t>
  </si>
  <si>
    <t xml:space="preserve">Responsible</t>
  </si>
  <si>
    <t xml:space="preserve">Comment / next action</t>
  </si>
  <si>
    <t xml:space="preserve">Last updated</t>
  </si>
  <si>
    <t xml:space="preserve">Milestone indicator value (where quantitative)</t>
  </si>
  <si>
    <t xml:space="preserve">NS</t>
  </si>
  <si>
    <t xml:space="preserve">New in v2 - to be assessed with the country focal point</t>
  </si>
  <si>
    <t xml:space="preserve">C</t>
  </si>
  <si>
    <t xml:space="preserve">v1 carry-over, unverified</t>
  </si>
  <si>
    <t xml:space="preserve">IP</t>
  </si>
  <si>
    <t xml:space="preserve">D</t>
  </si>
  <si>
    <t xml:space="preserve">Sheet 04 - Country by milestone matrix (read only, rebuilt from sheet 03)</t>
  </si>
  <si>
    <t xml:space="preserve">ISO3 join key - do not edit</t>
  </si>
  <si>
    <t xml:space="preserve">Botswana
(IGAP)</t>
  </si>
  <si>
    <t xml:space="preserve">Malawi
(IGAP)</t>
  </si>
  <si>
    <t xml:space="preserve">Côte d'Ivoire
(IGAP)</t>
  </si>
  <si>
    <t xml:space="preserve">Ethiopia
(IGAP)</t>
  </si>
  <si>
    <t xml:space="preserve">Zambia
(IGAP)</t>
  </si>
  <si>
    <t xml:space="preserve">Gambia
(Dementia)</t>
  </si>
  <si>
    <t xml:space="preserve">Applicable milestones (excluding NA)</t>
  </si>
  <si>
    <t xml:space="preserve">Milestones completed (C)</t>
  </si>
  <si>
    <t xml:space="preserve">Milestones in progress (IP)</t>
  </si>
  <si>
    <t xml:space="preserve">Milestones delayed (D)</t>
  </si>
  <si>
    <t xml:space="preserve">Milestone completion rate</t>
  </si>
  <si>
    <t xml:space="preserve">Weighted progress index</t>
  </si>
  <si>
    <t xml:space="preserve">Evidence verified (share of completed milestones)</t>
  </si>
  <si>
    <t xml:space="preserve">Sheet 05 - Results framework (access to medicines indicators, one block per country)</t>
  </si>
  <si>
    <t xml:space="preserve">Indicator code</t>
  </si>
  <si>
    <t xml:space="preserve">Domain</t>
  </si>
  <si>
    <t xml:space="preserve">Indicator</t>
  </si>
  <si>
    <t xml:space="preserve">Unit</t>
  </si>
  <si>
    <t xml:space="preserve">Global framework alignment</t>
  </si>
  <si>
    <t xml:space="preserve">Direction</t>
  </si>
  <si>
    <t xml:space="preserve">Measurement round</t>
  </si>
  <si>
    <t xml:space="preserve">Baseline value</t>
  </si>
  <si>
    <t xml:space="preserve">Baseline year</t>
  </si>
  <si>
    <t xml:space="preserve">Target value</t>
  </si>
  <si>
    <t xml:space="preserve">Target year</t>
  </si>
  <si>
    <t xml:space="preserve">Value for this round</t>
  </si>
  <si>
    <t xml:space="preserve">Measurement date</t>
  </si>
  <si>
    <t xml:space="preserve">Data source</t>
  </si>
  <si>
    <t xml:space="preserve">Data quality flag</t>
  </si>
  <si>
    <t xml:space="preserve">Comment</t>
  </si>
  <si>
    <t xml:space="preserve">A1</t>
  </si>
  <si>
    <t xml:space="preserve">Availability</t>
  </si>
  <si>
    <t xml:space="preserve">EXAMPLE ROW - illustrative format only, delete before use</t>
  </si>
  <si>
    <t xml:space="preserve">%</t>
  </si>
  <si>
    <t xml:space="preserve">IGAP target 2.2</t>
  </si>
  <si>
    <t xml:space="preserve">Higher is better</t>
  </si>
  <si>
    <t xml:space="preserve">XXX</t>
  </si>
  <si>
    <t xml:space="preserve">Example country</t>
  </si>
  <si>
    <t xml:space="preserve">Round 1 (2026)</t>
  </si>
  <si>
    <t xml:space="preserve">WHO/HAI survey 2026</t>
  </si>
  <si>
    <t xml:space="preserve">Provisional</t>
  </si>
  <si>
    <t xml:space="preserve">Public sector, 8 tracer antiseizure medicines</t>
  </si>
  <si>
    <t xml:space="preserve">Mean availability of the tracer basket for neurological disorders, public sector</t>
  </si>
  <si>
    <t xml:space="preserve">Baseline</t>
  </si>
  <si>
    <t xml:space="preserve">A2</t>
  </si>
  <si>
    <t xml:space="preserve">Mean availability of the tracer basket for neurological disorders, private sector</t>
  </si>
  <si>
    <t xml:space="preserve">A3</t>
  </si>
  <si>
    <t xml:space="preserve">Mean availability of the 14 global core medicines, public sector</t>
  </si>
  <si>
    <t xml:space="preserve">Building blocks core indicator 1</t>
  </si>
  <si>
    <t xml:space="preserve">A4</t>
  </si>
  <si>
    <t xml:space="preserve">Mean availability of the 14 global core medicines, private sector</t>
  </si>
  <si>
    <t xml:space="preserve">A5</t>
  </si>
  <si>
    <t xml:space="preserve">Share of surveyed public outlets with at least one antiseizure medicine available on the day of visit</t>
  </si>
  <si>
    <t xml:space="preserve">A6</t>
  </si>
  <si>
    <t xml:space="preserve">Mean availability of the dementia comorbidity and care basket, public sector</t>
  </si>
  <si>
    <t xml:space="preserve">Dementia action plan action area 4</t>
  </si>
  <si>
    <t xml:space="preserve">A7</t>
  </si>
  <si>
    <t xml:space="preserve">Mean stockout duration of tracer medicines in the past six months, public warehouses</t>
  </si>
  <si>
    <t xml:space="preserve">days</t>
  </si>
  <si>
    <t xml:space="preserve">Building blocks section 4</t>
  </si>
  <si>
    <t xml:space="preserve">Lower is better</t>
  </si>
  <si>
    <t xml:space="preserve">B1</t>
  </si>
  <si>
    <t xml:space="preserve">Price</t>
  </si>
  <si>
    <t xml:space="preserve">Median price ratio, lowest priced generic, public sector procurement</t>
  </si>
  <si>
    <t xml:space="preserve">ratio</t>
  </si>
  <si>
    <t xml:space="preserve">Building blocks core indicator 2</t>
  </si>
  <si>
    <t xml:space="preserve">B2</t>
  </si>
  <si>
    <t xml:space="preserve">Median price ratio, lowest priced generic, public sector patient price</t>
  </si>
  <si>
    <t xml:space="preserve">B3</t>
  </si>
  <si>
    <t xml:space="preserve">Median price ratio, lowest priced generic, private sector</t>
  </si>
  <si>
    <t xml:space="preserve">B4</t>
  </si>
  <si>
    <t xml:space="preserve">Median price ratio, originator brand, private sector</t>
  </si>
  <si>
    <t xml:space="preserve">B5</t>
  </si>
  <si>
    <t xml:space="preserve">Brand premium (originator brand price divided by lowest priced generic price), private sector</t>
  </si>
  <si>
    <t xml:space="preserve">WHO/HAI section 6</t>
  </si>
  <si>
    <t xml:space="preserve">B6</t>
  </si>
  <si>
    <t xml:space="preserve">Total percentage mark-up between manufacturer selling price and patient price</t>
  </si>
  <si>
    <t xml:space="preserve">Building blocks indicator 9</t>
  </si>
  <si>
    <t xml:space="preserve">C1</t>
  </si>
  <si>
    <t xml:space="preserve">Affordability</t>
  </si>
  <si>
    <t xml:space="preserve">Number of days' wages of the lowest paid unskilled government worker for 30 days of treatment with the lowest priced generic antiseizure medicine</t>
  </si>
  <si>
    <t xml:space="preserve">days' wages</t>
  </si>
  <si>
    <t xml:space="preserve">WHO/HAI section 6.4</t>
  </si>
  <si>
    <t xml:space="preserve">C2</t>
  </si>
  <si>
    <t xml:space="preserve">Number of days' wages for 30 days of treatment for a person with dementia and one comorbidity (standard basket)</t>
  </si>
  <si>
    <t xml:space="preserve">C3</t>
  </si>
  <si>
    <t xml:space="preserve">Share of the tracer basket costing more than one day's wage for a 30 day course</t>
  </si>
  <si>
    <t xml:space="preserve">D1</t>
  </si>
  <si>
    <t xml:space="preserve">Policy and system</t>
  </si>
  <si>
    <t xml:space="preserve">National medicines policy exists and has been updated within the past five years</t>
  </si>
  <si>
    <t xml:space="preserve">Yes/No</t>
  </si>
  <si>
    <t xml:space="preserve">Building blocks indicator 2</t>
  </si>
  <si>
    <t xml:space="preserve">Yes</t>
  </si>
  <si>
    <t xml:space="preserve">D2</t>
  </si>
  <si>
    <t xml:space="preserve">National essential medicines list exists and has been updated within the past five years</t>
  </si>
  <si>
    <t xml:space="preserve">Building blocks indicator 3</t>
  </si>
  <si>
    <t xml:space="preserve">D3</t>
  </si>
  <si>
    <t xml:space="preserve">Number of tracer basket medicines included in the national essential medicines list</t>
  </si>
  <si>
    <t xml:space="preserve">count</t>
  </si>
  <si>
    <t xml:space="preserve">EML 24th list</t>
  </si>
  <si>
    <t xml:space="preserve">D4</t>
  </si>
  <si>
    <t xml:space="preserve">Neurological disorders included in the universal health coverage benefit package</t>
  </si>
  <si>
    <t xml:space="preserve">IGAP target 2.1</t>
  </si>
  <si>
    <t xml:space="preserve">D5</t>
  </si>
  <si>
    <t xml:space="preserve">Country reports essential medicines and basic technologies for neurological disorders available in primary care</t>
  </si>
  <si>
    <t xml:space="preserve">D6</t>
  </si>
  <si>
    <t xml:space="preserve">At least one antidementia medicine approved by the national medicines regulatory authority</t>
  </si>
  <si>
    <t xml:space="preserve">GDO indicator 10, Q10x1</t>
  </si>
  <si>
    <t xml:space="preserve">D7</t>
  </si>
  <si>
    <t xml:space="preserve">Generic version of at least one antidementia medicine available</t>
  </si>
  <si>
    <t xml:space="preserve">GDO indicator 10, Q10x1x1</t>
  </si>
  <si>
    <t xml:space="preserve">D8</t>
  </si>
  <si>
    <t xml:space="preserve">At least one antidementia medicine reimbursable for on-label use</t>
  </si>
  <si>
    <t xml:space="preserve">Yes/No/Partial</t>
  </si>
  <si>
    <t xml:space="preserve">GDO indicator 10, Q10x1x2</t>
  </si>
  <si>
    <t xml:space="preserve">D9</t>
  </si>
  <si>
    <t xml:space="preserve">Care products and assistive technologies for dementia available or reimbursable (three categories)</t>
  </si>
  <si>
    <t xml:space="preserve">count 0-3</t>
  </si>
  <si>
    <t xml:space="preserve">GDO indicator 10 checklist</t>
  </si>
  <si>
    <t xml:space="preserve">D10</t>
  </si>
  <si>
    <t xml:space="preserve">Legal provisions allow or encourage generic substitution in the private sector</t>
  </si>
  <si>
    <t xml:space="preserve">Building blocks indicator 4</t>
  </si>
  <si>
    <t xml:space="preserve">D11</t>
  </si>
  <si>
    <t xml:space="preserve">Access to essential medicines recognised in the constitution or national legislation</t>
  </si>
  <si>
    <t xml:space="preserve">Building blocks indicator 1</t>
  </si>
  <si>
    <t xml:space="preserve">E1</t>
  </si>
  <si>
    <t xml:space="preserve">Coverage and use</t>
  </si>
  <si>
    <t xml:space="preserve">Service coverage for epilepsy (people with epilepsy receiving services in the past 12 months)</t>
  </si>
  <si>
    <t xml:space="preserve">IGAP target 5.1</t>
  </si>
  <si>
    <t xml:space="preserve">E2</t>
  </si>
  <si>
    <t xml:space="preserve">Share of people diagnosed with epilepsy receiving antiseizure medicines</t>
  </si>
  <si>
    <t xml:space="preserve">IGAP target 5.1 cascade</t>
  </si>
  <si>
    <t xml:space="preserve">E3</t>
  </si>
  <si>
    <t xml:space="preserve">Diagnostic rate for dementia</t>
  </si>
  <si>
    <t xml:space="preserve">GDO indicator 7 / dementia target 4</t>
  </si>
  <si>
    <t xml:space="preserve">E4</t>
  </si>
  <si>
    <t xml:space="preserve">Share of prescriptions written by generic name in surveyed facilities</t>
  </si>
  <si>
    <t xml:space="preserve">Building blocks section 4.2</t>
  </si>
  <si>
    <t xml:space="preserve">E5</t>
  </si>
  <si>
    <t xml:space="preserve">Share of prescribed medicines drawn from the national essential medicines list</t>
  </si>
  <si>
    <t xml:space="preserve">F1</t>
  </si>
  <si>
    <t xml:space="preserve">Financing</t>
  </si>
  <si>
    <t xml:space="preserve">Public and private per capita expenditure on medicines</t>
  </si>
  <si>
    <t xml:space="preserve">US$ per capita</t>
  </si>
  <si>
    <t xml:space="preserve">Building blocks indicator 5</t>
  </si>
  <si>
    <t xml:space="preserve">Context</t>
  </si>
  <si>
    <t xml:space="preserve">F2</t>
  </si>
  <si>
    <t xml:space="preserve">Share of the population covered by health insurance</t>
  </si>
  <si>
    <t xml:space="preserve">Building blocks indicator 6</t>
  </si>
  <si>
    <t xml:space="preserve">Sheet 06 - Indicator metadata (read before entering any value in sheet 05)</t>
  </si>
  <si>
    <t xml:space="preserve">Definition</t>
  </si>
  <si>
    <t xml:space="preserve">Numerator</t>
  </si>
  <si>
    <t xml:space="preserve">Denominator</t>
  </si>
  <si>
    <t xml:space="preserve">Method of measurement and notes</t>
  </si>
  <si>
    <t xml:space="preserve">Periodicity</t>
  </si>
  <si>
    <t xml:space="preserve">Disaggregation</t>
  </si>
  <si>
    <t xml:space="preserve">Reference</t>
  </si>
  <si>
    <t xml:space="preserve">Source milestone</t>
  </si>
  <si>
    <t xml:space="preserve">Mean percentage of surveyed public sector medicine outlets in which each medicine of the neurological tracer basket was found on the day of data collection, averaged over the medicines of the basket.</t>
  </si>
  <si>
    <t xml:space="preserve">Sum of the availability percentages of each tracer medicine</t>
  </si>
  <si>
    <t xml:space="preserve">Number of tracer medicines surveyed</t>
  </si>
  <si>
    <t xml:space="preserve">Facility survey, day of visit, no stock recorded as zero. Reported separately for the lowest priced generic and the originator brand.</t>
  </si>
  <si>
    <t xml:space="preserve">WHO/HAI medicine price and availability survey</t>
  </si>
  <si>
    <t xml:space="preserve">Every 3 to 5 years</t>
  </si>
  <si>
    <t xml:space="preserve">Sector, urban/rural, level of care, product type</t>
  </si>
  <si>
    <t xml:space="preserve">Same definition as A1 applied to licensed private pharmacies and licensed drug stores.</t>
  </si>
  <si>
    <t xml:space="preserve">Facility survey, day of visit.</t>
  </si>
  <si>
    <t xml:space="preserve">WHO/HAI survey</t>
  </si>
  <si>
    <t xml:space="preserve">Sector, urban/rural, product type</t>
  </si>
  <si>
    <t xml:space="preserve">Mean availability of the 14 medicines of the WHO/HAI global core list, which allows international comparison.</t>
  </si>
  <si>
    <t xml:space="preserve">Sum of the availability percentages of the 14 global core medicines</t>
  </si>
  <si>
    <t xml:space="preserve">14</t>
  </si>
  <si>
    <t xml:space="preserve">Standard core indicator. Amitriptyline and diazepam in the global core list are directly relevant to the mental and neurological basket.</t>
  </si>
  <si>
    <t xml:space="preserve">Sector, urban/rural</t>
  </si>
  <si>
    <t xml:space="preserve">Same as A3 for the private sector.</t>
  </si>
  <si>
    <t xml:space="preserve">Sum of availability percentages</t>
  </si>
  <si>
    <t xml:space="preserve">Standard core indicator.</t>
  </si>
  <si>
    <t xml:space="preserve">Percentage of surveyed public outlets holding at least one antiseizure medicine of the tracer basket on the day of visit.</t>
  </si>
  <si>
    <t xml:space="preserve">Number of public outlets with at least one antiseizure medicine available</t>
  </si>
  <si>
    <t xml:space="preserve">Number of public outlets surveyed</t>
  </si>
  <si>
    <t xml:space="preserve">Direct operational proxy for the IGAP target 2.2 basket. Antiseizure medicines are the tracer medicines named in IGAP.</t>
  </si>
  <si>
    <t xml:space="preserve">Every 3 to 5 years, annually if integrated into routine LMIS</t>
  </si>
  <si>
    <t xml:space="preserve">Level of care, urban/rural</t>
  </si>
  <si>
    <t xml:space="preserve">Mean availability of the dementia comorbidity and care basket (see sheet 07), noting that no antidementia medicine is currently on the WHO Model List of Essential Medicines.</t>
  </si>
  <si>
    <t xml:space="preserve">Sum of availability percentages of basket medicines</t>
  </si>
  <si>
    <t xml:space="preserve">Number of basket medicines surveyed</t>
  </si>
  <si>
    <t xml:space="preserve">For dementia, availability of antidementia medicines is captured as a regulatory and reimbursement indicator (D6 to D8) rather than a facility availability indicator.</t>
  </si>
  <si>
    <t xml:space="preserve">WHO/HAI survey and national regulatory data</t>
  </si>
  <si>
    <t xml:space="preserve">Sector, level of care</t>
  </si>
  <si>
    <t xml:space="preserve">Average number of days over the past six months during which a tracer medicine was out of stock in surveyed public warehouses.</t>
  </si>
  <si>
    <t xml:space="preserve">Sum of stockout days per tracer medicine</t>
  </si>
  <si>
    <t xml:space="preserve">Number of tracer medicines assessed</t>
  </si>
  <si>
    <t xml:space="preserve">Requires stock record review at central and regional medical stores; a recall period of six months is used.</t>
  </si>
  <si>
    <t xml:space="preserve">Warehouse record review, LMIS</t>
  </si>
  <si>
    <t xml:space="preserve">Annual once integrated into routine reporting</t>
  </si>
  <si>
    <t xml:space="preserve">Medicine, warehouse level</t>
  </si>
  <si>
    <t xml:space="preserve">Ratio between the median unit price paid by the government to procure the medicine and the corresponding international reference price.</t>
  </si>
  <si>
    <t xml:space="preserve">Median local unit procurement price</t>
  </si>
  <si>
    <t xml:space="preserve">MSH international reference price for the year preceding the survey</t>
  </si>
  <si>
    <t xml:space="preserve">Computed in the WHO/HAI workbook. Reported separately for lowest priced generic and originator brand.</t>
  </si>
  <si>
    <t xml:space="preserve">WHO/HAI survey, central procurement records</t>
  </si>
  <si>
    <t xml:space="preserve">Product type, medicine</t>
  </si>
  <si>
    <t xml:space="preserve">Ratio between the median unit price charged to the patient in public facilities and the international reference price.</t>
  </si>
  <si>
    <t xml:space="preserve">Median public sector patient unit price</t>
  </si>
  <si>
    <t xml:space="preserve">MSH international reference price</t>
  </si>
  <si>
    <t xml:space="preserve">Computed in the WHO/HAI workbook.</t>
  </si>
  <si>
    <t xml:space="preserve">Ratio between the median unit price in private outlets and the international reference price, lowest priced generic.</t>
  </si>
  <si>
    <t xml:space="preserve">Median private sector unit price, lowest priced generic</t>
  </si>
  <si>
    <t xml:space="preserve">Core indicator of the health system building blocks handbook.</t>
  </si>
  <si>
    <t xml:space="preserve">Same as B3 for the originator brand product.</t>
  </si>
  <si>
    <t xml:space="preserve">Median private sector unit price, originator brand</t>
  </si>
  <si>
    <t xml:space="preserve">Core indicator.</t>
  </si>
  <si>
    <t xml:space="preserve">Medicine</t>
  </si>
  <si>
    <t xml:space="preserve">Ratio of the median originator brand price to the median lowest priced generic price for the same medicine, same sector.</t>
  </si>
  <si>
    <t xml:space="preserve">Median originator brand unit price</t>
  </si>
  <si>
    <t xml:space="preserve">Median lowest priced generic unit price</t>
  </si>
  <si>
    <t xml:space="preserve">Quantifies the scope for savings through generic substitution; read together with indicator D10.</t>
  </si>
  <si>
    <t xml:space="preserve">Medicine, sector</t>
  </si>
  <si>
    <t xml:space="preserve">Percentage by which the final patient price exceeds the manufacturer selling price or the cost, insurance and freight price, obtained by tracking tracer medicines through the five supply chain stages.</t>
  </si>
  <si>
    <t xml:space="preserve">Patient price minus manufacturer selling price</t>
  </si>
  <si>
    <t xml:space="preserve">Manufacturer selling price</t>
  </si>
  <si>
    <t xml:space="preserve">Price components survey, stages 1 to 5 (manufacturer plus insurance and freight, landed price, wholesale or central medical stores price, retail or dispensary price, dispensed price).</t>
  </si>
  <si>
    <t xml:space="preserve">WHO/HAI price components survey</t>
  </si>
  <si>
    <t xml:space="preserve">Stage of supply chain, sector, medicine</t>
  </si>
  <si>
    <t xml:space="preserve">Number of days' wages that the lowest paid unskilled government worker must spend to purchase a 30 day course of treatment with the lowest priced generic antiseizure medicine.</t>
  </si>
  <si>
    <t xml:space="preserve">Total cost of a 30 day standard course</t>
  </si>
  <si>
    <t xml:space="preserve">Daily wage of the lowest paid unskilled government worker</t>
  </si>
  <si>
    <t xml:space="preserve">Standard treatment schedules must be fixed in the protocol before fieldwork and kept constant across rounds. A treatment requiring more than one day's wage is conventionally considered unaffordable.</t>
  </si>
  <si>
    <t xml:space="preserve">WHO/HAI survey and national public service pay scale</t>
  </si>
  <si>
    <t xml:space="preserve">Medicine, sector, product type</t>
  </si>
  <si>
    <t xml:space="preserve">Same method as C1 applied to a standard monthly basket for a person living with dementia and one comorbidity, as defined in sheet 07.</t>
  </si>
  <si>
    <t xml:space="preserve">Total cost of the standard monthly basket</t>
  </si>
  <si>
    <t xml:space="preserve">The basket composition must be recorded in the survey report so that the figure remains comparable.</t>
  </si>
  <si>
    <t xml:space="preserve">WHO/HAI survey and national pay scale</t>
  </si>
  <si>
    <t xml:space="preserve">Sector, product type</t>
  </si>
  <si>
    <t xml:space="preserve">Share of tracer basket medicines whose 30 day course costs more than one day's wage of the lowest paid unskilled government worker.</t>
  </si>
  <si>
    <t xml:space="preserve">Number of tracer medicines above the one day threshold</t>
  </si>
  <si>
    <t xml:space="preserve">Number of tracer medicines priced</t>
  </si>
  <si>
    <t xml:space="preserve">Summary affordability measure, easier to communicate than a distribution of days' wages.</t>
  </si>
  <si>
    <t xml:space="preserve">Existence of an official national medicines policy, updated within the past five years.</t>
  </si>
  <si>
    <t xml:space="preserve">Not applicable</t>
  </si>
  <si>
    <t xml:space="preserve">Documentary review and key informant confirmation; record the year of the last update.</t>
  </si>
  <si>
    <t xml:space="preserve">National authority, WHO pharmaceutical country profile</t>
  </si>
  <si>
    <t xml:space="preserve">Every 4 years</t>
  </si>
  <si>
    <t xml:space="preserve">M07 and M30</t>
  </si>
  <si>
    <t xml:space="preserve">Existence of a national essential medicines list, updated within the past five years.</t>
  </si>
  <si>
    <t xml:space="preserve">Documentary review; record the year of the last update.</t>
  </si>
  <si>
    <t xml:space="preserve">National authority</t>
  </si>
  <si>
    <t xml:space="preserve">Number of medicines of the tracer basket (sheet 07) that appear on the current national essential medicines list.</t>
  </si>
  <si>
    <t xml:space="preserve">Number of tracer basket medicines on the national list</t>
  </si>
  <si>
    <t xml:space="preserve">Compare the national list against the tracer basket medicine by medicine, including strength and dosage form.</t>
  </si>
  <si>
    <t xml:space="preserve">National essential medicines list</t>
  </si>
  <si>
    <t xml:space="preserve">At each revision of the national list</t>
  </si>
  <si>
    <t xml:space="preserve">Therapeutic group, EML core or complementary</t>
  </si>
  <si>
    <t xml:space="preserve">Neurological disorders are named in the national universal health coverage benefit package.</t>
  </si>
  <si>
    <t xml:space="preserve">Documentary review of the benefit package.</t>
  </si>
  <si>
    <t xml:space="preserve">Every 2 to 3 years</t>
  </si>
  <si>
    <t xml:space="preserve">Country reports that the core set of essential medicines and basic technologies for neurological disorders is available and affordable in primary care on a sustainable basis.</t>
  </si>
  <si>
    <t xml:space="preserve">This is the reporting indicator behind IGAP global target 2.2. The facility survey indicators A1, A2 and A5 provide the evidence for the country response.</t>
  </si>
  <si>
    <t xml:space="preserve">Country reporting to WHO</t>
  </si>
  <si>
    <t xml:space="preserve">Every 3 years</t>
  </si>
  <si>
    <t xml:space="preserve">At least one antidementia medicine (donepezil, galantamine, rivastigmine or memantine) is approved by the national medicines regulatory authority.</t>
  </si>
  <si>
    <t xml:space="preserve">Global Dementia Observatory question Q10x1.</t>
  </si>
  <si>
    <t xml:space="preserve">National medicines regulatory authority</t>
  </si>
  <si>
    <t xml:space="preserve">Every 2 years</t>
  </si>
  <si>
    <t xml:space="preserve">A generic version of at least one approved antidementia medicine is available.</t>
  </si>
  <si>
    <t xml:space="preserve">Global Dementia Observatory question Q10x1x1.</t>
  </si>
  <si>
    <t xml:space="preserve">At least one approved antidementia medicine is reimbursable for on-label use.</t>
  </si>
  <si>
    <t xml:space="preserve">Global Dementia Observatory question Q10x1x2, three response options: yes, no, partial.</t>
  </si>
  <si>
    <t xml:space="preserve">National health financing authority</t>
  </si>
  <si>
    <t xml:space="preserve">Number of the three Global Dementia Observatory care product categories (adult hygiene products, assistive technology, housing adjustments) that are available or reimbursable.</t>
  </si>
  <si>
    <t xml:space="preserve">Number of categories available or reimbursable</t>
  </si>
  <si>
    <t xml:space="preserve">3</t>
  </si>
  <si>
    <t xml:space="preserve">Global Dementia Observatory indicator 10 checklist. Record available and reimbursable separately in the comment field.</t>
  </si>
  <si>
    <t xml:space="preserve">National authority, home care organisations</t>
  </si>
  <si>
    <t xml:space="preserve">Product category</t>
  </si>
  <si>
    <t xml:space="preserve">Existence of legal provisions allowing or encouraging generic substitution in the private sector.</t>
  </si>
  <si>
    <t xml:space="preserve">Legal and regulatory review.</t>
  </si>
  <si>
    <t xml:space="preserve">Access to essential medicines is recognised in the constitution or in national legislation as part of the right to health.</t>
  </si>
  <si>
    <t xml:space="preserve">Review of the constitution and health legislation.</t>
  </si>
  <si>
    <t xml:space="preserve">National legislation</t>
  </si>
  <si>
    <t xml:space="preserve">Percentage of people with epilepsy who used services during the past 12 months.</t>
  </si>
  <si>
    <t xml:space="preserve">Number of people with epilepsy in receipt of services</t>
  </si>
  <si>
    <t xml:space="preserve">Estimated number of people with epilepsy in the population</t>
  </si>
  <si>
    <t xml:space="preserve">IGAP indicator 5.1. Numerator from routine information systems or a facility survey; denominator from a national survey or sub-regional prevalence estimates. Countries may measure the cascade: diagnosed, on antiseizure medicines, seizure controlled.</t>
  </si>
  <si>
    <t xml:space="preserve">Routine health information system, facility survey</t>
  </si>
  <si>
    <t xml:space="preserve">Sex, age, level of care</t>
  </si>
  <si>
    <t xml:space="preserve">M29 and M30</t>
  </si>
  <si>
    <t xml:space="preserve">Percentage of people diagnosed with epilepsy who have access to appropriate, affordable and safe antiseizure medicines.</t>
  </si>
  <si>
    <t xml:space="preserve">Number of people diagnosed with epilepsy receiving antiseizure medicines</t>
  </si>
  <si>
    <t xml:space="preserve">Number of people diagnosed with epilepsy</t>
  </si>
  <si>
    <t xml:space="preserve">Second step of the IGAP 5.1 cascade; this is the indicator that links the medicine survey to service coverage.</t>
  </si>
  <si>
    <t xml:space="preserve">Routine health information system, facility records</t>
  </si>
  <si>
    <t xml:space="preserve">Annual where routine data allow</t>
  </si>
  <si>
    <t xml:space="preserve">Sex, age</t>
  </si>
  <si>
    <t xml:space="preserve">Number of people with dementia who have received a diagnosis, divided by the estimated number of people with dementia.</t>
  </si>
  <si>
    <t xml:space="preserve">Number of people with dementia who received a diagnosis</t>
  </si>
  <si>
    <t xml:space="preserve">Estimated population prevalence of dementia for the country</t>
  </si>
  <si>
    <t xml:space="preserve">Global Dementia Observatory indicator 7 and global dementia action plan target 4.</t>
  </si>
  <si>
    <t xml:space="preserve">Routine health information system, registries</t>
  </si>
  <si>
    <t xml:space="preserve">Percentage of medicines prescribed by generic name in surveyed facilities.</t>
  </si>
  <si>
    <t xml:space="preserve">Number of medicines prescribed by generic name</t>
  </si>
  <si>
    <t xml:space="preserve">Total number of medicines prescribed</t>
  </si>
  <si>
    <t xml:space="preserve">Standard rational use prescribing indicator, measured on a sample of prescriptions or encounters.</t>
  </si>
  <si>
    <t xml:space="preserve">Prescription record review</t>
  </si>
  <si>
    <t xml:space="preserve">Level of care, sector</t>
  </si>
  <si>
    <t xml:space="preserve">Percentage of prescribed medicines that appear on the national essential medicines list.</t>
  </si>
  <si>
    <t xml:space="preserve">Number of prescribed medicines on the national list</t>
  </si>
  <si>
    <t xml:space="preserve">Standard rational use prescribing indicator.</t>
  </si>
  <si>
    <t xml:space="preserve">Total pharmaceutical expenditure per capita, disaggregated into public and private financing.</t>
  </si>
  <si>
    <t xml:space="preserve">Total pharmaceutical expenditure</t>
  </si>
  <si>
    <t xml:space="preserve">Total population</t>
  </si>
  <si>
    <t xml:space="preserve">From national health accounts. Reported in US dollars and in local currency.</t>
  </si>
  <si>
    <t xml:space="preserve">National health accounts</t>
  </si>
  <si>
    <t xml:space="preserve">Annual</t>
  </si>
  <si>
    <t xml:space="preserve">Public and private financing</t>
  </si>
  <si>
    <t xml:space="preserve">Percentage of the population covered by any form of health insurance.</t>
  </si>
  <si>
    <t xml:space="preserve">Number of people covered by health insurance</t>
  </si>
  <si>
    <t xml:space="preserve">Household survey or administrative records.</t>
  </si>
  <si>
    <t xml:space="preserve">Household survey</t>
  </si>
  <si>
    <t xml:space="preserve">Sex, urban/rural, wealth quintile</t>
  </si>
  <si>
    <t xml:space="preserve">Sheet 07 - Tracer medicines and care products basket</t>
  </si>
  <si>
    <t xml:space="preserve">ID</t>
  </si>
  <si>
    <t xml:space="preserve">Category</t>
  </si>
  <si>
    <t xml:space="preserve">International non-proprietary name</t>
  </si>
  <si>
    <t xml:space="preserve">Strength</t>
  </si>
  <si>
    <t xml:space="preserve">Dosage form</t>
  </si>
  <si>
    <t xml:space="preserve">WHO Model List status (24th list, 2025)</t>
  </si>
  <si>
    <t xml:space="preserve">Position in the survey medicine list</t>
  </si>
  <si>
    <t xml:space="preserve">IGAP relevance</t>
  </si>
  <si>
    <t xml:space="preserve">Dementia relevance</t>
  </si>
  <si>
    <t xml:space="preserve">Included in the national survey (Yes/No)</t>
  </si>
  <si>
    <t xml:space="preserve">On the national essential medicines list (Yes/No)</t>
  </si>
  <si>
    <t xml:space="preserve">Notes</t>
  </si>
  <si>
    <t xml:space="preserve">T01</t>
  </si>
  <si>
    <t xml:space="preserve">Antiseizure (IGAP core)</t>
  </si>
  <si>
    <t xml:space="preserve">carbamazepine</t>
  </si>
  <si>
    <t xml:space="preserve">200 mg</t>
  </si>
  <si>
    <t xml:space="preserve">tablet</t>
  </si>
  <si>
    <t xml:space="preserve">EML 24th list, 5.1.1, core</t>
  </si>
  <si>
    <t xml:space="preserve">Sub-Saharan Africa regional core list</t>
  </si>
  <si>
    <t xml:space="preserve">T02</t>
  </si>
  <si>
    <t xml:space="preserve">phenobarbital</t>
  </si>
  <si>
    <t xml:space="preserve">30 mg</t>
  </si>
  <si>
    <t xml:space="preserve">Supplementary</t>
  </si>
  <si>
    <t xml:space="preserve">T03</t>
  </si>
  <si>
    <t xml:space="preserve">phenytoin</t>
  </si>
  <si>
    <t xml:space="preserve">100 mg</t>
  </si>
  <si>
    <t xml:space="preserve">solid oral dosage form</t>
  </si>
  <si>
    <t xml:space="preserve">T04</t>
  </si>
  <si>
    <t xml:space="preserve">valproic acid (sodium valproate)</t>
  </si>
  <si>
    <t xml:space="preserve">enteric coated tablet</t>
  </si>
  <si>
    <t xml:space="preserve">T05</t>
  </si>
  <si>
    <t xml:space="preserve">levetiracetam</t>
  </si>
  <si>
    <t xml:space="preserve">500 mg</t>
  </si>
  <si>
    <t xml:space="preserve">T06</t>
  </si>
  <si>
    <t xml:space="preserve">lamotrigine</t>
  </si>
  <si>
    <t xml:space="preserve">EML 24th list, 5.1.1, core (adjunctive use)</t>
  </si>
  <si>
    <t xml:space="preserve">T07</t>
  </si>
  <si>
    <t xml:space="preserve">Antiseizure, emergency</t>
  </si>
  <si>
    <t xml:space="preserve">diazepam</t>
  </si>
  <si>
    <t xml:space="preserve">5 mg</t>
  </si>
  <si>
    <t xml:space="preserve">WHO/HAI global core list, item 11</t>
  </si>
  <si>
    <t xml:space="preserve">T08</t>
  </si>
  <si>
    <t xml:space="preserve">diazepam rectal</t>
  </si>
  <si>
    <t xml:space="preserve">5 mg/mL</t>
  </si>
  <si>
    <t xml:space="preserve">rectal solution or gel</t>
  </si>
  <si>
    <t xml:space="preserve">T09</t>
  </si>
  <si>
    <t xml:space="preserve">midazolam</t>
  </si>
  <si>
    <t xml:space="preserve">10 mg/mL</t>
  </si>
  <si>
    <t xml:space="preserve">solution for oromucosal administration</t>
  </si>
  <si>
    <t xml:space="preserve">T10</t>
  </si>
  <si>
    <t xml:space="preserve">Antidementia</t>
  </si>
  <si>
    <t xml:space="preserve">donepezil</t>
  </si>
  <si>
    <t xml:space="preserve">5 mg / 10 mg</t>
  </si>
  <si>
    <t xml:space="preserve">Not on the WHO Model List of Essential Medicines</t>
  </si>
  <si>
    <t xml:space="preserve">Supplementary, national decision</t>
  </si>
  <si>
    <t xml:space="preserve">T11</t>
  </si>
  <si>
    <t xml:space="preserve">memantine</t>
  </si>
  <si>
    <t xml:space="preserve">10 mg</t>
  </si>
  <si>
    <t xml:space="preserve">T12</t>
  </si>
  <si>
    <t xml:space="preserve">rivastigmine</t>
  </si>
  <si>
    <t xml:space="preserve">1.5 mg</t>
  </si>
  <si>
    <t xml:space="preserve">capsule or patch</t>
  </si>
  <si>
    <t xml:space="preserve">T13</t>
  </si>
  <si>
    <t xml:space="preserve">galantamine</t>
  </si>
  <si>
    <t xml:space="preserve">8 mg</t>
  </si>
  <si>
    <t xml:space="preserve">T14</t>
  </si>
  <si>
    <t xml:space="preserve">Dementia comorbidity and behavioural symptoms</t>
  </si>
  <si>
    <t xml:space="preserve">haloperidol</t>
  </si>
  <si>
    <t xml:space="preserve">EML 24th list, 24.1, core</t>
  </si>
  <si>
    <t xml:space="preserve">T15</t>
  </si>
  <si>
    <t xml:space="preserve">risperidone</t>
  </si>
  <si>
    <t xml:space="preserve">1 mg</t>
  </si>
  <si>
    <t xml:space="preserve">T16</t>
  </si>
  <si>
    <t xml:space="preserve">fluoxetine</t>
  </si>
  <si>
    <t xml:space="preserve">20 mg</t>
  </si>
  <si>
    <t xml:space="preserve">tablet or capsule</t>
  </si>
  <si>
    <t xml:space="preserve">EML 24th list, 24.2.1, core</t>
  </si>
  <si>
    <t xml:space="preserve">T17</t>
  </si>
  <si>
    <t xml:space="preserve">amitriptyline</t>
  </si>
  <si>
    <t xml:space="preserve">25 mg</t>
  </si>
  <si>
    <t xml:space="preserve">WHO/HAI global core list, item 6</t>
  </si>
  <si>
    <t xml:space="preserve">T18</t>
  </si>
  <si>
    <t xml:space="preserve">Vascular risk factor control</t>
  </si>
  <si>
    <t xml:space="preserve">atenolol</t>
  </si>
  <si>
    <t xml:space="preserve">50 mg</t>
  </si>
  <si>
    <t xml:space="preserve">EML 24th list, cardiovascular, core</t>
  </si>
  <si>
    <t xml:space="preserve">WHO/HAI global core list, item 3</t>
  </si>
  <si>
    <t xml:space="preserve">T19</t>
  </si>
  <si>
    <t xml:space="preserve">simvastatin</t>
  </si>
  <si>
    <t xml:space="preserve">WHO/HAI global core list, item 5</t>
  </si>
  <si>
    <t xml:space="preserve">T20</t>
  </si>
  <si>
    <t xml:space="preserve">glibenclamide</t>
  </si>
  <si>
    <t xml:space="preserve">EML 24th list, antidiabetic, core</t>
  </si>
  <si>
    <t xml:space="preserve">WHO/HAI global core list, item 2</t>
  </si>
  <si>
    <t xml:space="preserve">T21</t>
  </si>
  <si>
    <t xml:space="preserve">Care products (dementia)</t>
  </si>
  <si>
    <t xml:space="preserve">adult hygiene products</t>
  </si>
  <si>
    <t xml:space="preserve">not applicable</t>
  </si>
  <si>
    <t xml:space="preserve">product category</t>
  </si>
  <si>
    <t xml:space="preserve">Global Dementia Observatory indicator 10</t>
  </si>
  <si>
    <t xml:space="preserve">T22</t>
  </si>
  <si>
    <t xml:space="preserve">assistive technology (walking frame, wheelchair, spectacles, hearing aid)</t>
  </si>
  <si>
    <t xml:space="preserve">T23</t>
  </si>
  <si>
    <t xml:space="preserve">housing adjustments (ramps, grab bars, smoke detectors)</t>
  </si>
  <si>
    <t xml:space="preserve">No antidementia medicine (donepezil, galantamine, rivastigmine, memantine) appears on the WHO Model List of Essential Medicines, 24th list (2025). Access to these medicines therefore cannot be tracked as an essential medicines availability indicator; it is tracked through indicators D6 to D9, which follow the Global Dementia Observatory indicator 10 questions on regulatory approval, generic availability and reimbursement.</t>
  </si>
  <si>
    <t xml:space="preserve">Antiseizure medicines are the tracer medicines named in IGAP for global target 2.2, which is why the basket is built around them.</t>
  </si>
  <si>
    <t xml:space="preserve">Items T18 to T20 are already on the WHO/HAI global core list, so they are collected in any standard survey at no additional field cost; they are retained here because mid-life hypertension, diabetes and dyslipidaemia are modifiable dementia risk factors under action area 3 of the global dementia action plan.</t>
  </si>
  <si>
    <t xml:space="preserve">Antipsychotic medicines T14 and T15 are included for availability monitoring only. The mhGAP guideline does not support their routine use for behavioural and psychological symptoms of dementia; the results report should state this explicitly so that availability is not read as an encouragement to prescribe.</t>
  </si>
  <si>
    <t xml:space="preserve">Any medicine of the global or sub-Saharan Africa core list excluded from a national survey must be reported and justified in the survey report.</t>
  </si>
  <si>
    <t xml:space="preserve">Sheet 08 - Regional monitoring dashboard (calculated, no manual entry)</t>
  </si>
  <si>
    <t xml:space="preserve">Regional indicator</t>
  </si>
  <si>
    <t xml:space="preserve">Definition applied</t>
  </si>
  <si>
    <t xml:space="preserve">Value</t>
  </si>
  <si>
    <t xml:space="preserve">Coverage</t>
  </si>
  <si>
    <t xml:space="preserve">Related global target</t>
  </si>
  <si>
    <t xml:space="preserve">Countries engaged in the initiative</t>
  </si>
  <si>
    <t xml:space="preserve">Countries listed in the country register</t>
  </si>
  <si>
    <t xml:space="preserve">6</t>
  </si>
  <si>
    <t xml:space="preserve">Project level</t>
  </si>
  <si>
    <t xml:space="preserve">Countries having completed the inception phase</t>
  </si>
  <si>
    <t xml:space="preserve">All milestones of phase P1 coded C</t>
  </si>
  <si>
    <t xml:space="preserve">Countries with data collectors trained</t>
  </si>
  <si>
    <t xml:space="preserve">Milestone M14 coded C</t>
  </si>
  <si>
    <t xml:space="preserve">Countries having launched fieldwork</t>
  </si>
  <si>
    <t xml:space="preserve">Milestone M16 coded C</t>
  </si>
  <si>
    <t xml:space="preserve">Countries having completed data collection</t>
  </si>
  <si>
    <t xml:space="preserve">Milestone M18 coded C</t>
  </si>
  <si>
    <t xml:space="preserve">IGAP target 2.2: evidence base on availability of essential medicines for neurological disorders in primary care</t>
  </si>
  <si>
    <t xml:space="preserve">Countries having completed the price components survey</t>
  </si>
  <si>
    <t xml:space="preserve">Milestone M19 coded C</t>
  </si>
  <si>
    <t xml:space="preserve">IGAP target 2.2 and WHO/HAI price components analysis</t>
  </si>
  <si>
    <t xml:space="preserve">Countries with a validated final report</t>
  </si>
  <si>
    <t xml:space="preserve">Milestone M26 coded C</t>
  </si>
  <si>
    <t xml:space="preserve">Countries with a costed action plan developed</t>
  </si>
  <si>
    <t xml:space="preserve">Milestone M27 coded C</t>
  </si>
  <si>
    <t xml:space="preserve">Dementia action plan action area 1 and IGAP strategic objective 1</t>
  </si>
  <si>
    <t xml:space="preserve">Countries with an endorsed action plan</t>
  </si>
  <si>
    <t xml:space="preserve">Milestone M28 coded C</t>
  </si>
  <si>
    <t xml:space="preserve">Countries reporting tracer medicines through routine information systems</t>
  </si>
  <si>
    <t xml:space="preserve">Milestone M29 coded C</t>
  </si>
  <si>
    <t xml:space="preserve">IGAP target 4.1 and dementia target 6: routine collection and reporting of a core indicator set</t>
  </si>
  <si>
    <t xml:space="preserve">Milestones completed, all countries</t>
  </si>
  <si>
    <t xml:space="preserve">Count of C across the tracker</t>
  </si>
  <si>
    <t xml:space="preserve">Milestones delayed, all countries</t>
  </si>
  <si>
    <t xml:space="preserve">Count of D across the tracker</t>
  </si>
  <si>
    <t xml:space="preserve">Completed milestones with the means of verification on file</t>
  </si>
  <si>
    <t xml:space="preserve">C and verified equal to Yes</t>
  </si>
  <si>
    <t xml:space="preserve">Data governance standard: 100 percent of completed milestones evidenced</t>
  </si>
  <si>
    <t xml:space="preserve">Open risks rated high or extreme</t>
  </si>
  <si>
    <t xml:space="preserve">Risk register, residual score of 12 or more and status not closed</t>
  </si>
  <si>
    <t xml:space="preserve">Results indicators with a value recorded</t>
  </si>
  <si>
    <t xml:space="preserve">Sheet 05, latest value not empty</t>
  </si>
  <si>
    <t xml:space="preserve">IGAP target 4.1 and dementia target 6</t>
  </si>
  <si>
    <t xml:space="preserve">Progress by country</t>
  </si>
  <si>
    <t xml:space="preserve">Open risks</t>
  </si>
  <si>
    <t xml:space="preserve">Highest inherent risk score</t>
  </si>
  <si>
    <t xml:space="preserve">Sheet 09 - Risk register</t>
  </si>
  <si>
    <t xml:space="preserve">Risk ID</t>
  </si>
  <si>
    <t xml:space="preserve">Date raised</t>
  </si>
  <si>
    <t xml:space="preserve">Risk description</t>
  </si>
  <si>
    <t xml:space="preserve">Likelihood (1-5)</t>
  </si>
  <si>
    <t xml:space="preserve">Impact (1-5)</t>
  </si>
  <si>
    <t xml:space="preserve">Inherent score</t>
  </si>
  <si>
    <t xml:space="preserve">Rating</t>
  </si>
  <si>
    <t xml:space="preserve">Mitigation action</t>
  </si>
  <si>
    <t xml:space="preserve">Owner</t>
  </si>
  <si>
    <t xml:space="preserve">Due date</t>
  </si>
  <si>
    <t xml:space="preserve">Date of last review</t>
  </si>
  <si>
    <t xml:space="preserve">Residual score</t>
  </si>
  <si>
    <t xml:space="preserve">RSK-01</t>
  </si>
  <si>
    <t xml:space="preserve">Operational</t>
  </si>
  <si>
    <t xml:space="preserve">Delay in approval of the facility sampling frame</t>
  </si>
  <si>
    <t xml:space="preserve">Engage the Ministry of Health lead to expedite sign-off of the sampling frame; provide the standard sampling note as supporting material.</t>
  </si>
  <si>
    <t xml:space="preserve">Focal point and WHO country office</t>
  </si>
  <si>
    <t xml:space="preserve">Open</t>
  </si>
  <si>
    <t xml:space="preserve">RSK-02</t>
  </si>
  <si>
    <t xml:space="preserve">Financial</t>
  </si>
  <si>
    <t xml:space="preserve">Insufficient budget for surveyor field travel</t>
  </si>
  <si>
    <t xml:space="preserve">Reprioritise travel logistics and explore joint supervision missions with the Ministry of Health; confirm the funding gap in writing.</t>
  </si>
  <si>
    <t xml:space="preserve">Technical working group and WHO AFRO</t>
  </si>
  <si>
    <t xml:space="preserve">RSK-03</t>
  </si>
  <si>
    <t xml:space="preserve">Data quality</t>
  </si>
  <si>
    <t xml:space="preserve">Discrepancies in public sector facility stock records</t>
  </si>
  <si>
    <t xml:space="preserve">Conduct a secondary verification sweep with national supervisors on the affected facilities; document all corrections in the data quality log.</t>
  </si>
  <si>
    <t xml:space="preserve">In progress</t>
  </si>
  <si>
    <t xml:space="preserve">RSK-04</t>
  </si>
  <si>
    <t xml:space="preserve">Institutional</t>
  </si>
  <si>
    <t xml:space="preserve">Competing national health priorities delaying the validation workshop</t>
  </si>
  <si>
    <t xml:space="preserve">Secure a fixed date in the Ministry of Health calendar and circulate the draft report in advance so that the workshop is a decision meeting.</t>
  </si>
  <si>
    <t xml:space="preserve">Focal point and Ministry of Health</t>
  </si>
  <si>
    <t xml:space="preserve">RSK-05</t>
  </si>
  <si>
    <t xml:space="preserve">Regulatory</t>
  </si>
  <si>
    <t xml:space="preserve">Administrative delay in ethics and administrative clearance</t>
  </si>
  <si>
    <t xml:space="preserve">Request a WHO AFRO support letter to accelerate the review; prepare all preparatory milestones in parallel so that fieldwork can start immediately after clearance.</t>
  </si>
  <si>
    <t xml:space="preserve">WHO country office lead</t>
  </si>
  <si>
    <t xml:space="preserve">RSK-06</t>
  </si>
  <si>
    <t xml:space="preserve">Technical</t>
  </si>
  <si>
    <t xml:space="preserve">Limited national expertise in adapting the survey protocol to dementia</t>
  </si>
  <si>
    <t xml:space="preserve">Provide direct technical assistance through the AFRO regional consultant and pair the country with a country already past the preparation phase.</t>
  </si>
  <si>
    <t xml:space="preserve">AFRO consultant</t>
  </si>
  <si>
    <t xml:space="preserve">RSK-07</t>
  </si>
  <si>
    <t xml:space="preserve">All countries</t>
  </si>
  <si>
    <t xml:space="preserve">Data governance</t>
  </si>
  <si>
    <t xml:space="preserve">Statuses carried over from version 1.0 have not been verified against a means of verification</t>
  </si>
  <si>
    <t xml:space="preserve">Re-confirm every status with the country focal point and file the means of verification before any external reporting.</t>
  </si>
  <si>
    <t xml:space="preserve">AFRO monitoring focal point</t>
  </si>
  <si>
    <t xml:space="preserve">RSK-08</t>
  </si>
  <si>
    <t xml:space="preserve">Methodological</t>
  </si>
  <si>
    <t xml:space="preserve">Standard treatment schedules and the reference price year are not yet fixed, which would make affordability and price ratios non comparable between countries and between rounds</t>
  </si>
  <si>
    <t xml:space="preserve">Fix the treatment schedules, the international reference price source and its year in a short regional methodological note before the next round of fieldwork.</t>
  </si>
  <si>
    <t xml:space="preserve">Likelihood and impact are scored 1 to 5. Inherent score = likelihood x impact. Rating: 1-5 low, 6-11 moderate, 12-14 high, 15-25 extreme. The residual score is entered after the mitigation action has been implemented and reviewed.</t>
  </si>
  <si>
    <t xml:space="preserve">Sheet 10 - Data quality log</t>
  </si>
  <si>
    <t xml:space="preserve">Issue ID</t>
  </si>
  <si>
    <t xml:space="preserve">Source</t>
  </si>
  <si>
    <t xml:space="preserve">Cell or field</t>
  </si>
  <si>
    <t xml:space="preserve">Issue type</t>
  </si>
  <si>
    <t xml:space="preserve">Description</t>
  </si>
  <si>
    <t xml:space="preserve">Action taken or required</t>
  </si>
  <si>
    <t xml:space="preserve">Date closed</t>
  </si>
  <si>
    <t xml:space="preserve">DQ-01</t>
  </si>
  <si>
    <t xml:space="preserve">v1 - Implementation Dashboard</t>
  </si>
  <si>
    <t xml:space="preserve">Data type</t>
  </si>
  <si>
    <t xml:space="preserve">Start date stored as a serial number and displayed as 45306, while other start dates in the same column were stored as text</t>
  </si>
  <si>
    <t xml:space="preserve">Dates rebuilt as true date values with a single display format in sheet 01</t>
  </si>
  <si>
    <t xml:space="preserve">Resolved in v2</t>
  </si>
  <si>
    <t xml:space="preserve">DQ-02</t>
  </si>
  <si>
    <t xml:space="preserve">F5:F10</t>
  </si>
  <si>
    <t xml:space="preserve">Consistency</t>
  </si>
  <si>
    <t xml:space="preserve">Percentage completion entered by hand and inconsistent with the milestone count (Botswana 45 percent against 7 of 19 milestones, Ethiopia 75 percent against 12 of 19)</t>
  </si>
  <si>
    <t xml:space="preserve">Progress is now calculated from the tracker; two explicit measures are reported</t>
  </si>
  <si>
    <t xml:space="preserve">DQ-03</t>
  </si>
  <si>
    <t xml:space="preserve">v1 - M&amp;E Milestone Matrix</t>
  </si>
  <si>
    <t xml:space="preserve">C4:K4</t>
  </si>
  <si>
    <t xml:space="preserve">Formula</t>
  </si>
  <si>
    <t xml:space="preserve">The status key cells beginning with an equals sign were interpreted as formulas and returned a name error</t>
  </si>
  <si>
    <t xml:space="preserve">Key moved to the README sheet as plain text and enforced by data validation</t>
  </si>
  <si>
    <t xml:space="preserve">DQ-04</t>
  </si>
  <si>
    <t xml:space="preserve">v1 - Regional Dashboard</t>
  </si>
  <si>
    <t xml:space="preserve">C5:H5</t>
  </si>
  <si>
    <t xml:space="preserve">Logic</t>
  </si>
  <si>
    <t xml:space="preserve">Countries supported was derived from the status of the inception meeting, which measures something else</t>
  </si>
  <si>
    <t xml:space="preserve">Regional roll-up rebuilt on explicit milestone definitions stated next to each indicator</t>
  </si>
  <si>
    <t xml:space="preserve">DQ-05</t>
  </si>
  <si>
    <t xml:space="preserve">v1 - all sheets</t>
  </si>
  <si>
    <t xml:space="preserve">Country labels</t>
  </si>
  <si>
    <t xml:space="preserve">The Gambia and Gambia used in different sheets, which breaks any lookup</t>
  </si>
  <si>
    <t xml:space="preserve">ISO3 codes introduced as the join key</t>
  </si>
  <si>
    <t xml:space="preserve">DQ-06</t>
  </si>
  <si>
    <t xml:space="preserve">E6:J6</t>
  </si>
  <si>
    <t xml:space="preserve">Project streams recorded as IGAP, AtM and Dementia, where AtM is the project name and not a stream</t>
  </si>
  <si>
    <t xml:space="preserve">Provisional stream assigned in sheet 01, to be confirmed with each country</t>
  </si>
  <si>
    <t xml:space="preserve">DQ-07</t>
  </si>
  <si>
    <t xml:space="preserve">All records</t>
  </si>
  <si>
    <t xml:space="preserve">Currency of data</t>
  </si>
  <si>
    <t xml:space="preserve">All statuses and dates date from May 2024 and no update has been recorded since</t>
  </si>
  <si>
    <t xml:space="preserve">Re-confirm every record with the country focal points and record the reporting period in sheet 01</t>
  </si>
  <si>
    <t xml:space="preserve">DQ-08</t>
  </si>
  <si>
    <t xml:space="preserve">Status codes</t>
  </si>
  <si>
    <t xml:space="preserve">Status code V (validated) was defined but never used, and overlapped with C (completed)</t>
  </si>
  <si>
    <t xml:space="preserve">Verification separated from status as its own field in the tracker</t>
  </si>
  <si>
    <t xml:space="preserve">DQ-09</t>
  </si>
  <si>
    <t xml:space="preserve">v2 - Progress Tracker</t>
  </si>
  <si>
    <t xml:space="preserve">Column L</t>
  </si>
  <si>
    <t xml:space="preserve">Completeness</t>
  </si>
  <si>
    <t xml:space="preserve">No means of verification is currently on file for any milestone coded completed</t>
  </si>
  <si>
    <t xml:space="preserve">Collect and file the means of verification listed in sheet 02 for every completed milestone</t>
  </si>
  <si>
    <t xml:space="preserve">DQ-10</t>
  </si>
  <si>
    <t xml:space="preserve">v2 - Results Framework</t>
  </si>
  <si>
    <t xml:space="preserve">No baseline value has been recorded for any access to medicines indicator</t>
  </si>
  <si>
    <t xml:space="preserve">Establish baselines from the most recent national survey or set them at the first survey round</t>
  </si>
  <si>
    <t xml:space="preserve">Sheet 11 - Controlled vocabularies</t>
  </si>
  <si>
    <t xml:space="preserve">Status code</t>
  </si>
  <si>
    <t xml:space="preserve">Status meaning</t>
  </si>
  <si>
    <t xml:space="preserve">Sector</t>
  </si>
  <si>
    <t xml:space="preserve">Risk status</t>
  </si>
  <si>
    <t xml:space="preserve">Not started</t>
  </si>
  <si>
    <t xml:space="preserve">Public</t>
  </si>
  <si>
    <t xml:space="preserve">Final</t>
  </si>
  <si>
    <t xml:space="preserve">Sub-national (WHO/HAI)</t>
  </si>
  <si>
    <t xml:space="preserve">Private</t>
  </si>
  <si>
    <t xml:space="preserve">Completed</t>
  </si>
  <si>
    <t xml:space="preserve">IGAP and Dementia</t>
  </si>
  <si>
    <t xml:space="preserve">Facility census module</t>
  </si>
  <si>
    <t xml:space="preserve">Mission or faith based</t>
  </si>
  <si>
    <t xml:space="preserve">Escalated</t>
  </si>
  <si>
    <t xml:space="preserve">Estimated</t>
  </si>
  <si>
    <t xml:space="preserve">Delayed</t>
  </si>
  <si>
    <t xml:space="preserve">Routine LMIS extraction</t>
  </si>
  <si>
    <t xml:space="preserve">Dispensing doctors</t>
  </si>
  <si>
    <t xml:space="preserve">Closed</t>
  </si>
  <si>
    <t xml:space="preserve">Not available</t>
  </si>
  <si>
    <t xml:space="preserve">NA</t>
  </si>
  <si>
    <t xml:space="preserve">Public procurement</t>
  </si>
</sst>
</file>

<file path=xl/styles.xml><?xml version="1.0" encoding="utf-8"?>
<styleSheet xmlns="http://schemas.openxmlformats.org/spreadsheetml/2006/main">
  <numFmts count="6">
    <numFmt numFmtId="164" formatCode="General"/>
    <numFmt numFmtId="165" formatCode="dd/mm/yyyy"/>
    <numFmt numFmtId="166" formatCode="General"/>
    <numFmt numFmtId="167" formatCode="0.0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2"/>
      <color rgb="FF0093D5"/>
      <name val="Arial"/>
      <family val="0"/>
      <charset val="1"/>
    </font>
    <font>
      <b val="true"/>
      <sz val="16"/>
      <color rgb="FF00205B"/>
      <name val="Arial"/>
      <family val="0"/>
      <charset val="1"/>
    </font>
    <font>
      <i val="true"/>
      <sz val="9"/>
      <color rgb="FF808080"/>
      <name val="Arial"/>
      <family val="0"/>
      <charset val="1"/>
    </font>
    <font>
      <sz val="10"/>
      <name val="Arial"/>
      <family val="0"/>
      <charset val="1"/>
    </font>
    <font>
      <b val="true"/>
      <sz val="10"/>
      <name val="Arial"/>
      <family val="0"/>
      <charset val="1"/>
    </font>
    <font>
      <b val="true"/>
      <sz val="14"/>
      <color rgb="FF00205B"/>
      <name val="Arial"/>
      <family val="0"/>
      <charset val="1"/>
    </font>
    <font>
      <b val="true"/>
      <sz val="11"/>
      <color rgb="FF00205B"/>
      <name val="Arial"/>
      <family val="0"/>
      <charset val="1"/>
    </font>
    <font>
      <b val="true"/>
      <sz val="10"/>
      <color rgb="FFFFFFFF"/>
      <name val="Arial"/>
      <family val="0"/>
      <charset val="1"/>
    </font>
    <font>
      <sz val="9"/>
      <name val="Arial"/>
      <family val="0"/>
      <charset val="1"/>
    </font>
  </fonts>
  <fills count="6">
    <fill>
      <patternFill patternType="none"/>
    </fill>
    <fill>
      <patternFill patternType="gray125"/>
    </fill>
    <fill>
      <patternFill patternType="solid">
        <fgColor rgb="FF00205B"/>
        <bgColor rgb="FF000080"/>
      </patternFill>
    </fill>
    <fill>
      <patternFill patternType="solid">
        <fgColor rgb="FFFFF2CC"/>
        <bgColor rgb="FFF2F2F2"/>
      </patternFill>
    </fill>
    <fill>
      <patternFill patternType="solid">
        <fgColor rgb="FFE8EEF5"/>
        <bgColor rgb="FFF2F2F2"/>
      </patternFill>
    </fill>
    <fill>
      <patternFill patternType="solid">
        <fgColor rgb="FFF2F2F2"/>
        <bgColor rgb="FFE8EE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9"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0205B"/>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
      <fill>
        <patternFill patternType="solid">
          <fgColor rgb="FFF2F2F2"/>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3D5"/>
      <rgbColor rgb="FFBFBFBF"/>
      <rgbColor rgb="FF808080"/>
      <rgbColor rgb="FF9999FF"/>
      <rgbColor rgb="FF993366"/>
      <rgbColor rgb="FFFFF2CC"/>
      <rgbColor rgb="FFE8EE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20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row>
    <row r="2" customFormat="false" ht="19.7" hidden="false" customHeight="false" outlineLevel="0" collapsed="false">
      <c r="A2" s="2" t="s">
        <v>1</v>
      </c>
    </row>
    <row r="3" customFormat="false" ht="15" hidden="false" customHeight="false" outlineLevel="0" collapsed="false">
      <c r="A3" s="3" t="s">
        <v>2</v>
      </c>
    </row>
    <row r="5" customFormat="false" ht="13.5" hidden="false" customHeight="true" outlineLevel="0" collapsed="false">
      <c r="A5" s="4"/>
      <c r="B5" s="5"/>
    </row>
    <row r="6" customFormat="false" ht="48" hidden="false" customHeight="true" outlineLevel="0" collapsed="false">
      <c r="A6" s="6" t="s">
        <v>3</v>
      </c>
      <c r="B6" s="5" t="s">
        <v>4</v>
      </c>
    </row>
    <row r="7" customFormat="false" ht="24" hidden="false" customHeight="true" outlineLevel="0" collapsed="false">
      <c r="A7" s="6" t="s">
        <v>5</v>
      </c>
      <c r="B7" s="5" t="s">
        <v>6</v>
      </c>
    </row>
    <row r="8" customFormat="false" ht="13.5" hidden="false" customHeight="true" outlineLevel="0" collapsed="false">
      <c r="A8" s="4"/>
      <c r="B8" s="5"/>
    </row>
    <row r="9" customFormat="false" ht="13.5" hidden="false" customHeight="true" outlineLevel="0" collapsed="false">
      <c r="A9" s="6" t="s">
        <v>7</v>
      </c>
      <c r="B9" s="5"/>
    </row>
    <row r="10" customFormat="false" ht="13.5" hidden="false" customHeight="true" outlineLevel="0" collapsed="false">
      <c r="A10" s="4" t="s">
        <v>8</v>
      </c>
      <c r="B10" s="5" t="s">
        <v>9</v>
      </c>
    </row>
    <row r="11" customFormat="false" ht="24" hidden="false" customHeight="true" outlineLevel="0" collapsed="false">
      <c r="A11" s="4" t="s">
        <v>10</v>
      </c>
      <c r="B11" s="5" t="s">
        <v>11</v>
      </c>
    </row>
    <row r="12" customFormat="false" ht="24" hidden="false" customHeight="true" outlineLevel="0" collapsed="false">
      <c r="A12" s="4" t="s">
        <v>12</v>
      </c>
      <c r="B12" s="5" t="s">
        <v>13</v>
      </c>
    </row>
    <row r="13" customFormat="false" ht="24" hidden="false" customHeight="true" outlineLevel="0" collapsed="false">
      <c r="A13" s="4" t="s">
        <v>14</v>
      </c>
      <c r="B13" s="5" t="s">
        <v>15</v>
      </c>
    </row>
    <row r="14" customFormat="false" ht="24" hidden="false" customHeight="true" outlineLevel="0" collapsed="false">
      <c r="A14" s="4" t="s">
        <v>16</v>
      </c>
      <c r="B14" s="5" t="s">
        <v>17</v>
      </c>
    </row>
    <row r="15" customFormat="false" ht="24" hidden="false" customHeight="true" outlineLevel="0" collapsed="false">
      <c r="A15" s="4" t="s">
        <v>18</v>
      </c>
      <c r="B15" s="5" t="s">
        <v>19</v>
      </c>
    </row>
    <row r="16" customFormat="false" ht="24" hidden="false" customHeight="true" outlineLevel="0" collapsed="false">
      <c r="A16" s="4" t="s">
        <v>20</v>
      </c>
      <c r="B16" s="5" t="s">
        <v>21</v>
      </c>
    </row>
    <row r="17" customFormat="false" ht="13.5" hidden="false" customHeight="true" outlineLevel="0" collapsed="false">
      <c r="A17" s="4" t="s">
        <v>22</v>
      </c>
      <c r="B17" s="5" t="s">
        <v>23</v>
      </c>
    </row>
    <row r="18" customFormat="false" ht="13.5" hidden="false" customHeight="true" outlineLevel="0" collapsed="false">
      <c r="A18" s="4" t="s">
        <v>24</v>
      </c>
      <c r="B18" s="5" t="s">
        <v>25</v>
      </c>
    </row>
    <row r="19" customFormat="false" ht="13.5" hidden="false" customHeight="true" outlineLevel="0" collapsed="false">
      <c r="A19" s="4" t="s">
        <v>26</v>
      </c>
      <c r="B19" s="5" t="s">
        <v>27</v>
      </c>
    </row>
    <row r="20" customFormat="false" ht="13.5" hidden="false" customHeight="true" outlineLevel="0" collapsed="false">
      <c r="A20" s="4" t="s">
        <v>28</v>
      </c>
      <c r="B20" s="5" t="s">
        <v>29</v>
      </c>
    </row>
    <row r="21" customFormat="false" ht="13.5" hidden="false" customHeight="true" outlineLevel="0" collapsed="false">
      <c r="A21" s="4"/>
      <c r="B21" s="5"/>
    </row>
    <row r="22" customFormat="false" ht="36" hidden="false" customHeight="true" outlineLevel="0" collapsed="false">
      <c r="A22" s="6" t="s">
        <v>30</v>
      </c>
      <c r="B22" s="5" t="s">
        <v>31</v>
      </c>
    </row>
    <row r="23" customFormat="false" ht="48" hidden="false" customHeight="true" outlineLevel="0" collapsed="false">
      <c r="A23" s="6" t="s">
        <v>32</v>
      </c>
      <c r="B23" s="5" t="s">
        <v>33</v>
      </c>
    </row>
    <row r="24" customFormat="false" ht="13.5" hidden="false" customHeight="true" outlineLevel="0" collapsed="false">
      <c r="A24" s="4"/>
      <c r="B24" s="5"/>
    </row>
    <row r="25" customFormat="false" ht="24" hidden="false" customHeight="true" outlineLevel="0" collapsed="false">
      <c r="A25" s="6" t="s">
        <v>34</v>
      </c>
      <c r="B25" s="5" t="s">
        <v>35</v>
      </c>
    </row>
    <row r="26" customFormat="false" ht="13.5" hidden="false" customHeight="true" outlineLevel="0" collapsed="false">
      <c r="A26" s="4"/>
      <c r="B26" s="5"/>
    </row>
    <row r="27" customFormat="false" ht="48" hidden="false" customHeight="true" outlineLevel="0" collapsed="false">
      <c r="A27" s="6" t="s">
        <v>36</v>
      </c>
      <c r="B27" s="5" t="s">
        <v>37</v>
      </c>
    </row>
    <row r="28" customFormat="false" ht="13.5" hidden="false" customHeight="true" outlineLevel="0" collapsed="false">
      <c r="A28" s="4"/>
      <c r="B28" s="5"/>
    </row>
    <row r="29" customFormat="false" ht="13.5" hidden="false" customHeight="true" outlineLevel="0" collapsed="false">
      <c r="A29" s="6" t="s">
        <v>38</v>
      </c>
      <c r="B29" s="5"/>
    </row>
    <row r="30" customFormat="false" ht="24" hidden="false" customHeight="true" outlineLevel="0" collapsed="false">
      <c r="A30" s="4" t="s">
        <v>39</v>
      </c>
      <c r="B30" s="5" t="s">
        <v>40</v>
      </c>
    </row>
    <row r="31" customFormat="false" ht="24" hidden="false" customHeight="true" outlineLevel="0" collapsed="false">
      <c r="A31" s="4" t="s">
        <v>41</v>
      </c>
      <c r="B31" s="5" t="s">
        <v>42</v>
      </c>
    </row>
    <row r="32" customFormat="false" ht="13.5" hidden="false" customHeight="true" outlineLevel="0" collapsed="false">
      <c r="A32" s="4" t="s">
        <v>43</v>
      </c>
      <c r="B32" s="5" t="s">
        <v>44</v>
      </c>
    </row>
    <row r="33" customFormat="false" ht="13.5" hidden="false" customHeight="true" outlineLevel="0" collapsed="false">
      <c r="A33" s="4" t="s">
        <v>45</v>
      </c>
      <c r="B33" s="5" t="s">
        <v>46</v>
      </c>
    </row>
    <row r="34" customFormat="false" ht="24" hidden="false" customHeight="true" outlineLevel="0" collapsed="false">
      <c r="A34" s="4" t="s">
        <v>47</v>
      </c>
      <c r="B34" s="5" t="s">
        <v>48</v>
      </c>
    </row>
    <row r="35" customFormat="false" ht="13.5" hidden="false" customHeight="true" outlineLevel="0" collapsed="false">
      <c r="A35" s="4" t="s">
        <v>49</v>
      </c>
      <c r="B35" s="5" t="s">
        <v>50</v>
      </c>
    </row>
    <row r="36" customFormat="false" ht="13.5" hidden="false" customHeight="true" outlineLevel="0" collapsed="false">
      <c r="A36" s="4" t="s">
        <v>51</v>
      </c>
      <c r="B36" s="5" t="s">
        <v>52</v>
      </c>
    </row>
    <row r="37" customFormat="false" ht="13.5" hidden="false" customHeight="true" outlineLevel="0" collapsed="false">
      <c r="A37" s="4" t="s">
        <v>53</v>
      </c>
      <c r="B37" s="5" t="s">
        <v>54</v>
      </c>
    </row>
    <row r="38" customFormat="false" ht="13.5" hidden="false" customHeight="true" outlineLevel="0" collapsed="false">
      <c r="A38" s="4"/>
      <c r="B38" s="5"/>
    </row>
    <row r="39" customFormat="false" ht="13.5" hidden="false" customHeight="true" outlineLevel="0" collapsed="false">
      <c r="A39" s="6" t="s">
        <v>55</v>
      </c>
      <c r="B39" s="5"/>
    </row>
    <row r="40" customFormat="false" ht="24" hidden="false" customHeight="true" outlineLevel="0" collapsed="false">
      <c r="A40" s="4" t="s">
        <v>56</v>
      </c>
      <c r="B40" s="5" t="s">
        <v>57</v>
      </c>
    </row>
    <row r="41" customFormat="false" ht="36" hidden="false" customHeight="true" outlineLevel="0" collapsed="false">
      <c r="A41" s="4" t="s">
        <v>58</v>
      </c>
      <c r="B41" s="5"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5" min="5" style="0" width="24"/>
    <col collapsed="false" customWidth="true" hidden="false" outlineLevel="0" max="6" min="6" style="0" width="22"/>
    <col collapsed="false" customWidth="true" hidden="false" outlineLevel="0" max="7" min="7" style="0" width="26"/>
    <col collapsed="false" customWidth="true" hidden="false" outlineLevel="0" max="8" min="8" style="0" width="24"/>
    <col collapsed="false" customWidth="true" hidden="false" outlineLevel="0" max="9" min="9" style="0" width="14"/>
    <col collapsed="false" customWidth="true" hidden="false" outlineLevel="0" max="10" min="10" style="0" width="16"/>
    <col collapsed="false" customWidth="true" hidden="false" outlineLevel="0" max="11" min="11" style="0" width="26"/>
    <col collapsed="false" customWidth="true" hidden="false" outlineLevel="0" max="12" min="12" style="0" width="16"/>
    <col collapsed="false" customWidth="true" hidden="false" outlineLevel="0" max="13" min="13" style="0" width="14"/>
    <col collapsed="false" customWidth="true" hidden="false" outlineLevel="0" max="14" min="14" style="0" width="16"/>
  </cols>
  <sheetData>
    <row r="1" customFormat="false" ht="17.35" hidden="false" customHeight="false" outlineLevel="0" collapsed="false">
      <c r="A1" s="7" t="s">
        <v>60</v>
      </c>
    </row>
    <row r="2" customFormat="false" ht="15" hidden="false" customHeight="false" outlineLevel="0" collapsed="false">
      <c r="A2" s="8" t="s">
        <v>61</v>
      </c>
    </row>
    <row r="3" customFormat="false" ht="15" hidden="false" customHeight="false" outlineLevel="0" collapsed="false">
      <c r="A3" s="3" t="s">
        <v>62</v>
      </c>
    </row>
    <row r="5" customFormat="false" ht="31.5" hidden="false" customHeight="true" outlineLevel="0" collapsed="false">
      <c r="A5" s="9" t="s">
        <v>63</v>
      </c>
      <c r="B5" s="9" t="s">
        <v>64</v>
      </c>
      <c r="C5" s="9" t="s">
        <v>65</v>
      </c>
      <c r="D5" s="9" t="s">
        <v>66</v>
      </c>
      <c r="E5" s="9" t="s">
        <v>67</v>
      </c>
      <c r="F5" s="9" t="s">
        <v>68</v>
      </c>
      <c r="G5" s="9" t="s">
        <v>69</v>
      </c>
      <c r="H5" s="9" t="s">
        <v>70</v>
      </c>
      <c r="I5" s="9" t="s">
        <v>71</v>
      </c>
      <c r="J5" s="9" t="s">
        <v>72</v>
      </c>
      <c r="K5" s="9" t="s">
        <v>73</v>
      </c>
      <c r="L5" s="9" t="s">
        <v>74</v>
      </c>
      <c r="M5" s="9" t="s">
        <v>75</v>
      </c>
      <c r="N5" s="9" t="s">
        <v>76</v>
      </c>
    </row>
    <row r="6" customFormat="false" ht="15" hidden="false" customHeight="false" outlineLevel="0" collapsed="false">
      <c r="A6" s="10" t="s">
        <v>77</v>
      </c>
      <c r="B6" s="10" t="s">
        <v>78</v>
      </c>
      <c r="C6" s="11" t="s">
        <v>79</v>
      </c>
      <c r="D6" s="11" t="s">
        <v>80</v>
      </c>
      <c r="E6" s="11" t="s">
        <v>81</v>
      </c>
      <c r="F6" s="11" t="s">
        <v>82</v>
      </c>
      <c r="G6" s="11"/>
      <c r="H6" s="11"/>
      <c r="I6" s="12" t="n">
        <v>45306</v>
      </c>
      <c r="J6" s="12"/>
      <c r="K6" s="11" t="s">
        <v>83</v>
      </c>
      <c r="L6" s="11"/>
      <c r="M6" s="12"/>
      <c r="N6" s="11" t="s">
        <v>84</v>
      </c>
    </row>
    <row r="7" customFormat="false" ht="15" hidden="false" customHeight="false" outlineLevel="0" collapsed="false">
      <c r="A7" s="10" t="s">
        <v>85</v>
      </c>
      <c r="B7" s="10" t="s">
        <v>86</v>
      </c>
      <c r="C7" s="11" t="s">
        <v>79</v>
      </c>
      <c r="D7" s="11" t="s">
        <v>80</v>
      </c>
      <c r="E7" s="11" t="s">
        <v>87</v>
      </c>
      <c r="F7" s="11" t="s">
        <v>82</v>
      </c>
      <c r="G7" s="11"/>
      <c r="H7" s="11"/>
      <c r="I7" s="12" t="n">
        <v>45323</v>
      </c>
      <c r="J7" s="12"/>
      <c r="K7" s="11" t="s">
        <v>88</v>
      </c>
      <c r="L7" s="11"/>
      <c r="M7" s="12"/>
      <c r="N7" s="11" t="s">
        <v>84</v>
      </c>
    </row>
    <row r="8" customFormat="false" ht="23.85" hidden="false" customHeight="false" outlineLevel="0" collapsed="false">
      <c r="A8" s="10" t="s">
        <v>89</v>
      </c>
      <c r="B8" s="10" t="s">
        <v>90</v>
      </c>
      <c r="C8" s="11" t="s">
        <v>79</v>
      </c>
      <c r="D8" s="11" t="s">
        <v>80</v>
      </c>
      <c r="E8" s="11" t="s">
        <v>91</v>
      </c>
      <c r="F8" s="11" t="s">
        <v>82</v>
      </c>
      <c r="G8" s="11"/>
      <c r="H8" s="11"/>
      <c r="I8" s="12" t="n">
        <v>45301</v>
      </c>
      <c r="J8" s="12"/>
      <c r="K8" s="11" t="s">
        <v>92</v>
      </c>
      <c r="L8" s="11"/>
      <c r="M8" s="12"/>
      <c r="N8" s="11" t="s">
        <v>84</v>
      </c>
    </row>
    <row r="9" customFormat="false" ht="23.85" hidden="false" customHeight="false" outlineLevel="0" collapsed="false">
      <c r="A9" s="10" t="s">
        <v>93</v>
      </c>
      <c r="B9" s="10" t="s">
        <v>94</v>
      </c>
      <c r="C9" s="11" t="s">
        <v>79</v>
      </c>
      <c r="D9" s="11" t="s">
        <v>80</v>
      </c>
      <c r="E9" s="11" t="s">
        <v>95</v>
      </c>
      <c r="F9" s="11" t="s">
        <v>82</v>
      </c>
      <c r="G9" s="11"/>
      <c r="H9" s="11"/>
      <c r="I9" s="12" t="n">
        <v>45231</v>
      </c>
      <c r="J9" s="12"/>
      <c r="K9" s="11" t="s">
        <v>92</v>
      </c>
      <c r="L9" s="11"/>
      <c r="M9" s="12"/>
      <c r="N9" s="11" t="s">
        <v>84</v>
      </c>
    </row>
    <row r="10" customFormat="false" ht="15" hidden="false" customHeight="false" outlineLevel="0" collapsed="false">
      <c r="A10" s="10" t="s">
        <v>96</v>
      </c>
      <c r="B10" s="10" t="s">
        <v>97</v>
      </c>
      <c r="C10" s="11" t="s">
        <v>79</v>
      </c>
      <c r="D10" s="11" t="s">
        <v>80</v>
      </c>
      <c r="E10" s="11" t="s">
        <v>98</v>
      </c>
      <c r="F10" s="11" t="s">
        <v>82</v>
      </c>
      <c r="G10" s="11"/>
      <c r="H10" s="11"/>
      <c r="I10" s="12" t="n">
        <v>45311</v>
      </c>
      <c r="J10" s="12"/>
      <c r="K10" s="11" t="s">
        <v>88</v>
      </c>
      <c r="L10" s="11"/>
      <c r="M10" s="12"/>
      <c r="N10" s="11" t="s">
        <v>84</v>
      </c>
    </row>
    <row r="11" customFormat="false" ht="15" hidden="false" customHeight="false" outlineLevel="0" collapsed="false">
      <c r="A11" s="10" t="s">
        <v>99</v>
      </c>
      <c r="B11" s="10" t="s">
        <v>100</v>
      </c>
      <c r="C11" s="11" t="s">
        <v>101</v>
      </c>
      <c r="D11" s="11" t="s">
        <v>80</v>
      </c>
      <c r="E11" s="11" t="s">
        <v>102</v>
      </c>
      <c r="F11" s="11" t="s">
        <v>82</v>
      </c>
      <c r="G11" s="11"/>
      <c r="H11" s="11"/>
      <c r="I11" s="12" t="n">
        <v>45352</v>
      </c>
      <c r="J11" s="12"/>
      <c r="K11" s="11" t="s">
        <v>103</v>
      </c>
      <c r="L11" s="11"/>
      <c r="M11" s="12"/>
      <c r="N11" s="11" t="s">
        <v>84</v>
      </c>
    </row>
    <row r="13" customFormat="false" ht="15" hidden="false" customHeight="false" outlineLevel="0" collapsed="false">
      <c r="B13" s="3"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4"/>
    <col collapsed="false" customWidth="true" hidden="false" outlineLevel="0" max="4" min="4" style="0" width="34"/>
    <col collapsed="false" customWidth="true" hidden="false" outlineLevel="0" max="5" min="5" style="0" width="30"/>
    <col collapsed="false" customWidth="true" hidden="false" outlineLevel="0" max="6" min="6" style="0" width="20"/>
    <col collapsed="false" customWidth="true" hidden="false" outlineLevel="0" max="7" min="7" style="0" width="16"/>
    <col collapsed="false" customWidth="true" hidden="false" outlineLevel="0" max="8" min="8" style="0" width="8"/>
  </cols>
  <sheetData>
    <row r="1" customFormat="false" ht="17.35" hidden="false" customHeight="false" outlineLevel="0" collapsed="false">
      <c r="A1" s="7" t="s">
        <v>60</v>
      </c>
    </row>
    <row r="2" customFormat="false" ht="15" hidden="false" customHeight="false" outlineLevel="0" collapsed="false">
      <c r="A2" s="8" t="s">
        <v>105</v>
      </c>
    </row>
    <row r="3" customFormat="false" ht="15" hidden="false" customHeight="false" outlineLevel="0" collapsed="false">
      <c r="A3" s="3" t="s">
        <v>62</v>
      </c>
    </row>
    <row r="5" customFormat="false" ht="31.5" hidden="false" customHeight="true" outlineLevel="0" collapsed="false">
      <c r="A5" s="9" t="s">
        <v>106</v>
      </c>
      <c r="B5" s="9" t="s">
        <v>107</v>
      </c>
      <c r="C5" s="9" t="s">
        <v>108</v>
      </c>
      <c r="D5" s="9" t="s">
        <v>109</v>
      </c>
      <c r="E5" s="9" t="s">
        <v>110</v>
      </c>
      <c r="F5" s="9" t="s">
        <v>111</v>
      </c>
      <c r="G5" s="9" t="s">
        <v>112</v>
      </c>
      <c r="H5" s="9" t="s">
        <v>113</v>
      </c>
    </row>
    <row r="6" customFormat="false" ht="23.85" hidden="false" customHeight="false" outlineLevel="0" collapsed="false">
      <c r="A6" s="10" t="s">
        <v>114</v>
      </c>
      <c r="B6" s="10" t="s">
        <v>103</v>
      </c>
      <c r="C6" s="10" t="s">
        <v>115</v>
      </c>
      <c r="D6" s="10" t="s">
        <v>116</v>
      </c>
      <c r="E6" s="10" t="s">
        <v>117</v>
      </c>
      <c r="F6" s="10" t="s">
        <v>118</v>
      </c>
      <c r="G6" s="10" t="s">
        <v>119</v>
      </c>
      <c r="H6" s="13" t="n">
        <v>1</v>
      </c>
    </row>
    <row r="7" customFormat="false" ht="23.85" hidden="false" customHeight="false" outlineLevel="0" collapsed="false">
      <c r="A7" s="10" t="s">
        <v>120</v>
      </c>
      <c r="B7" s="10" t="s">
        <v>103</v>
      </c>
      <c r="C7" s="10" t="s">
        <v>121</v>
      </c>
      <c r="D7" s="10" t="s">
        <v>122</v>
      </c>
      <c r="E7" s="10" t="s">
        <v>123</v>
      </c>
      <c r="F7" s="10" t="s">
        <v>124</v>
      </c>
      <c r="G7" s="10" t="s">
        <v>119</v>
      </c>
      <c r="H7" s="13" t="n">
        <v>1</v>
      </c>
    </row>
    <row r="8" customFormat="false" ht="23.85" hidden="false" customHeight="false" outlineLevel="0" collapsed="false">
      <c r="A8" s="10" t="s">
        <v>125</v>
      </c>
      <c r="B8" s="10" t="s">
        <v>103</v>
      </c>
      <c r="C8" s="10" t="s">
        <v>126</v>
      </c>
      <c r="D8" s="10" t="s">
        <v>127</v>
      </c>
      <c r="E8" s="10" t="s">
        <v>128</v>
      </c>
      <c r="F8" s="10" t="s">
        <v>129</v>
      </c>
      <c r="G8" s="10" t="s">
        <v>130</v>
      </c>
      <c r="H8" s="13" t="n">
        <v>1</v>
      </c>
    </row>
    <row r="9" customFormat="false" ht="23.85" hidden="false" customHeight="false" outlineLevel="0" collapsed="false">
      <c r="A9" s="10" t="s">
        <v>131</v>
      </c>
      <c r="B9" s="10" t="s">
        <v>103</v>
      </c>
      <c r="C9" s="10" t="s">
        <v>132</v>
      </c>
      <c r="D9" s="10" t="s">
        <v>133</v>
      </c>
      <c r="E9" s="10" t="s">
        <v>134</v>
      </c>
      <c r="F9" s="10" t="s">
        <v>129</v>
      </c>
      <c r="G9" s="10" t="s">
        <v>130</v>
      </c>
      <c r="H9" s="13" t="n">
        <v>1</v>
      </c>
    </row>
    <row r="10" customFormat="false" ht="15" hidden="false" customHeight="false" outlineLevel="0" collapsed="false">
      <c r="A10" s="10" t="s">
        <v>135</v>
      </c>
      <c r="B10" s="10" t="s">
        <v>103</v>
      </c>
      <c r="C10" s="10" t="s">
        <v>136</v>
      </c>
      <c r="D10" s="10" t="s">
        <v>137</v>
      </c>
      <c r="E10" s="10" t="s">
        <v>138</v>
      </c>
      <c r="F10" s="10" t="s">
        <v>139</v>
      </c>
      <c r="G10" s="10" t="s">
        <v>140</v>
      </c>
      <c r="H10" s="13" t="n">
        <v>1</v>
      </c>
    </row>
    <row r="11" customFormat="false" ht="23.85" hidden="false" customHeight="false" outlineLevel="0" collapsed="false">
      <c r="A11" s="10" t="s">
        <v>141</v>
      </c>
      <c r="B11" s="10" t="s">
        <v>103</v>
      </c>
      <c r="C11" s="10" t="s">
        <v>142</v>
      </c>
      <c r="D11" s="10" t="s">
        <v>143</v>
      </c>
      <c r="E11" s="10" t="s">
        <v>144</v>
      </c>
      <c r="F11" s="10" t="s">
        <v>129</v>
      </c>
      <c r="G11" s="10" t="s">
        <v>145</v>
      </c>
      <c r="H11" s="13" t="n">
        <v>1</v>
      </c>
    </row>
    <row r="12" customFormat="false" ht="23.85" hidden="false" customHeight="false" outlineLevel="0" collapsed="false">
      <c r="A12" s="10" t="s">
        <v>146</v>
      </c>
      <c r="B12" s="10" t="s">
        <v>88</v>
      </c>
      <c r="C12" s="10" t="s">
        <v>147</v>
      </c>
      <c r="D12" s="10" t="s">
        <v>148</v>
      </c>
      <c r="E12" s="10" t="s">
        <v>149</v>
      </c>
      <c r="F12" s="10" t="s">
        <v>150</v>
      </c>
      <c r="G12" s="10" t="s">
        <v>151</v>
      </c>
      <c r="H12" s="13" t="n">
        <v>1</v>
      </c>
    </row>
    <row r="13" customFormat="false" ht="23.85" hidden="false" customHeight="false" outlineLevel="0" collapsed="false">
      <c r="A13" s="10" t="s">
        <v>152</v>
      </c>
      <c r="B13" s="10" t="s">
        <v>88</v>
      </c>
      <c r="C13" s="10" t="s">
        <v>153</v>
      </c>
      <c r="D13" s="10" t="s">
        <v>154</v>
      </c>
      <c r="E13" s="10" t="s">
        <v>155</v>
      </c>
      <c r="F13" s="10" t="s">
        <v>156</v>
      </c>
      <c r="G13" s="10" t="s">
        <v>157</v>
      </c>
      <c r="H13" s="13" t="n">
        <v>1</v>
      </c>
    </row>
    <row r="14" customFormat="false" ht="23.85" hidden="false" customHeight="false" outlineLevel="0" collapsed="false">
      <c r="A14" s="10" t="s">
        <v>158</v>
      </c>
      <c r="B14" s="10" t="s">
        <v>88</v>
      </c>
      <c r="C14" s="10" t="s">
        <v>159</v>
      </c>
      <c r="D14" s="10" t="s">
        <v>160</v>
      </c>
      <c r="E14" s="10" t="s">
        <v>161</v>
      </c>
      <c r="F14" s="10" t="s">
        <v>156</v>
      </c>
      <c r="G14" s="10" t="s">
        <v>162</v>
      </c>
      <c r="H14" s="13" t="n">
        <v>1</v>
      </c>
    </row>
    <row r="15" customFormat="false" ht="23.85" hidden="false" customHeight="false" outlineLevel="0" collapsed="false">
      <c r="A15" s="10" t="s">
        <v>163</v>
      </c>
      <c r="B15" s="10" t="s">
        <v>88</v>
      </c>
      <c r="C15" s="10" t="s">
        <v>164</v>
      </c>
      <c r="D15" s="10" t="s">
        <v>165</v>
      </c>
      <c r="E15" s="10" t="s">
        <v>166</v>
      </c>
      <c r="F15" s="10" t="s">
        <v>150</v>
      </c>
      <c r="G15" s="10" t="s">
        <v>167</v>
      </c>
      <c r="H15" s="13" t="n">
        <v>1</v>
      </c>
    </row>
    <row r="16" customFormat="false" ht="23.85" hidden="false" customHeight="false" outlineLevel="0" collapsed="false">
      <c r="A16" s="10" t="s">
        <v>168</v>
      </c>
      <c r="B16" s="10" t="s">
        <v>88</v>
      </c>
      <c r="C16" s="10" t="s">
        <v>169</v>
      </c>
      <c r="D16" s="10" t="s">
        <v>170</v>
      </c>
      <c r="E16" s="10" t="s">
        <v>171</v>
      </c>
      <c r="F16" s="10" t="s">
        <v>156</v>
      </c>
      <c r="G16" s="10" t="s">
        <v>172</v>
      </c>
      <c r="H16" s="13" t="n">
        <v>1</v>
      </c>
    </row>
    <row r="17" customFormat="false" ht="23.85" hidden="false" customHeight="false" outlineLevel="0" collapsed="false">
      <c r="A17" s="10" t="s">
        <v>173</v>
      </c>
      <c r="B17" s="10" t="s">
        <v>88</v>
      </c>
      <c r="C17" s="10" t="s">
        <v>174</v>
      </c>
      <c r="D17" s="10" t="s">
        <v>175</v>
      </c>
      <c r="E17" s="10" t="s">
        <v>176</v>
      </c>
      <c r="F17" s="10" t="s">
        <v>156</v>
      </c>
      <c r="G17" s="10" t="s">
        <v>177</v>
      </c>
      <c r="H17" s="13" t="n">
        <v>1</v>
      </c>
    </row>
    <row r="18" customFormat="false" ht="23.85" hidden="false" customHeight="false" outlineLevel="0" collapsed="false">
      <c r="A18" s="10" t="s">
        <v>178</v>
      </c>
      <c r="B18" s="10" t="s">
        <v>88</v>
      </c>
      <c r="C18" s="10" t="s">
        <v>179</v>
      </c>
      <c r="D18" s="10" t="s">
        <v>180</v>
      </c>
      <c r="E18" s="10" t="s">
        <v>181</v>
      </c>
      <c r="F18" s="10" t="s">
        <v>156</v>
      </c>
      <c r="G18" s="10" t="s">
        <v>182</v>
      </c>
      <c r="H18" s="13" t="n">
        <v>1</v>
      </c>
    </row>
    <row r="19" customFormat="false" ht="15" hidden="false" customHeight="false" outlineLevel="0" collapsed="false">
      <c r="A19" s="10" t="s">
        <v>183</v>
      </c>
      <c r="B19" s="10" t="s">
        <v>88</v>
      </c>
      <c r="C19" s="10" t="s">
        <v>184</v>
      </c>
      <c r="D19" s="10" t="s">
        <v>185</v>
      </c>
      <c r="E19" s="10" t="s">
        <v>186</v>
      </c>
      <c r="F19" s="10" t="s">
        <v>156</v>
      </c>
      <c r="G19" s="10" t="s">
        <v>187</v>
      </c>
      <c r="H19" s="13" t="n">
        <v>1</v>
      </c>
    </row>
    <row r="20" customFormat="false" ht="23.85" hidden="false" customHeight="false" outlineLevel="0" collapsed="false">
      <c r="A20" s="10" t="s">
        <v>188</v>
      </c>
      <c r="B20" s="10" t="s">
        <v>88</v>
      </c>
      <c r="C20" s="10" t="s">
        <v>189</v>
      </c>
      <c r="D20" s="10" t="s">
        <v>190</v>
      </c>
      <c r="E20" s="10" t="s">
        <v>191</v>
      </c>
      <c r="F20" s="10" t="s">
        <v>156</v>
      </c>
      <c r="G20" s="10" t="s">
        <v>192</v>
      </c>
      <c r="H20" s="13" t="n">
        <v>1</v>
      </c>
    </row>
    <row r="21" customFormat="false" ht="15" hidden="false" customHeight="false" outlineLevel="0" collapsed="false">
      <c r="A21" s="10" t="s">
        <v>193</v>
      </c>
      <c r="B21" s="10" t="s">
        <v>83</v>
      </c>
      <c r="C21" s="10" t="s">
        <v>194</v>
      </c>
      <c r="D21" s="10" t="s">
        <v>195</v>
      </c>
      <c r="E21" s="10" t="s">
        <v>196</v>
      </c>
      <c r="F21" s="10" t="s">
        <v>197</v>
      </c>
      <c r="G21" s="10" t="s">
        <v>198</v>
      </c>
      <c r="H21" s="13" t="n">
        <v>1</v>
      </c>
    </row>
    <row r="22" customFormat="false" ht="23.85" hidden="false" customHeight="false" outlineLevel="0" collapsed="false">
      <c r="A22" s="10" t="s">
        <v>199</v>
      </c>
      <c r="B22" s="10" t="s">
        <v>83</v>
      </c>
      <c r="C22" s="10" t="s">
        <v>200</v>
      </c>
      <c r="D22" s="10" t="s">
        <v>201</v>
      </c>
      <c r="E22" s="10" t="s">
        <v>202</v>
      </c>
      <c r="F22" s="10" t="s">
        <v>156</v>
      </c>
      <c r="G22" s="10" t="s">
        <v>203</v>
      </c>
      <c r="H22" s="13" t="n">
        <v>1</v>
      </c>
    </row>
    <row r="23" customFormat="false" ht="23.85" hidden="false" customHeight="false" outlineLevel="0" collapsed="false">
      <c r="A23" s="10" t="s">
        <v>204</v>
      </c>
      <c r="B23" s="10" t="s">
        <v>83</v>
      </c>
      <c r="C23" s="10" t="s">
        <v>205</v>
      </c>
      <c r="D23" s="10" t="s">
        <v>206</v>
      </c>
      <c r="E23" s="10" t="s">
        <v>207</v>
      </c>
      <c r="F23" s="10" t="s">
        <v>197</v>
      </c>
      <c r="G23" s="10" t="s">
        <v>198</v>
      </c>
      <c r="H23" s="13" t="n">
        <v>1</v>
      </c>
    </row>
    <row r="24" customFormat="false" ht="23.85" hidden="false" customHeight="false" outlineLevel="0" collapsed="false">
      <c r="A24" s="10" t="s">
        <v>208</v>
      </c>
      <c r="B24" s="10" t="s">
        <v>83</v>
      </c>
      <c r="C24" s="10" t="s">
        <v>209</v>
      </c>
      <c r="D24" s="10" t="s">
        <v>210</v>
      </c>
      <c r="E24" s="10" t="s">
        <v>211</v>
      </c>
      <c r="F24" s="10" t="s">
        <v>156</v>
      </c>
      <c r="G24" s="10" t="s">
        <v>212</v>
      </c>
      <c r="H24" s="13" t="n">
        <v>1</v>
      </c>
    </row>
    <row r="25" customFormat="false" ht="23.85" hidden="false" customHeight="false" outlineLevel="0" collapsed="false">
      <c r="A25" s="10" t="s">
        <v>213</v>
      </c>
      <c r="B25" s="10" t="s">
        <v>83</v>
      </c>
      <c r="C25" s="10" t="s">
        <v>214</v>
      </c>
      <c r="D25" s="10" t="s">
        <v>215</v>
      </c>
      <c r="E25" s="10" t="s">
        <v>216</v>
      </c>
      <c r="F25" s="10" t="s">
        <v>197</v>
      </c>
      <c r="G25" s="10" t="s">
        <v>217</v>
      </c>
      <c r="H25" s="13" t="n">
        <v>1</v>
      </c>
    </row>
    <row r="26" customFormat="false" ht="23.85" hidden="false" customHeight="false" outlineLevel="0" collapsed="false">
      <c r="A26" s="10" t="s">
        <v>218</v>
      </c>
      <c r="B26" s="10" t="s">
        <v>92</v>
      </c>
      <c r="C26" s="10" t="s">
        <v>219</v>
      </c>
      <c r="D26" s="10" t="s">
        <v>220</v>
      </c>
      <c r="E26" s="10" t="s">
        <v>221</v>
      </c>
      <c r="F26" s="10" t="s">
        <v>222</v>
      </c>
      <c r="G26" s="10" t="s">
        <v>223</v>
      </c>
      <c r="H26" s="13" t="n">
        <v>1</v>
      </c>
    </row>
    <row r="27" customFormat="false" ht="23.85" hidden="false" customHeight="false" outlineLevel="0" collapsed="false">
      <c r="A27" s="10" t="s">
        <v>224</v>
      </c>
      <c r="B27" s="10" t="s">
        <v>92</v>
      </c>
      <c r="C27" s="10" t="s">
        <v>225</v>
      </c>
      <c r="D27" s="10" t="s">
        <v>226</v>
      </c>
      <c r="E27" s="10" t="s">
        <v>227</v>
      </c>
      <c r="F27" s="10" t="s">
        <v>222</v>
      </c>
      <c r="G27" s="10" t="s">
        <v>228</v>
      </c>
      <c r="H27" s="13" t="n">
        <v>1</v>
      </c>
    </row>
    <row r="28" customFormat="false" ht="23.85" hidden="false" customHeight="false" outlineLevel="0" collapsed="false">
      <c r="A28" s="10" t="s">
        <v>229</v>
      </c>
      <c r="B28" s="10" t="s">
        <v>92</v>
      </c>
      <c r="C28" s="10" t="s">
        <v>230</v>
      </c>
      <c r="D28" s="10" t="s">
        <v>231</v>
      </c>
      <c r="E28" s="10" t="s">
        <v>232</v>
      </c>
      <c r="F28" s="10" t="s">
        <v>222</v>
      </c>
      <c r="G28" s="10" t="s">
        <v>233</v>
      </c>
      <c r="H28" s="13" t="n">
        <v>1</v>
      </c>
    </row>
    <row r="29" customFormat="false" ht="23.85" hidden="false" customHeight="false" outlineLevel="0" collapsed="false">
      <c r="A29" s="10" t="s">
        <v>234</v>
      </c>
      <c r="B29" s="10" t="s">
        <v>92</v>
      </c>
      <c r="C29" s="10" t="s">
        <v>235</v>
      </c>
      <c r="D29" s="10" t="s">
        <v>236</v>
      </c>
      <c r="E29" s="10" t="s">
        <v>237</v>
      </c>
      <c r="F29" s="10" t="s">
        <v>156</v>
      </c>
      <c r="G29" s="10" t="s">
        <v>238</v>
      </c>
      <c r="H29" s="13" t="n">
        <v>1</v>
      </c>
    </row>
    <row r="30" customFormat="false" ht="23.85" hidden="false" customHeight="false" outlineLevel="0" collapsed="false">
      <c r="A30" s="10" t="s">
        <v>239</v>
      </c>
      <c r="B30" s="10" t="s">
        <v>240</v>
      </c>
      <c r="C30" s="10" t="s">
        <v>241</v>
      </c>
      <c r="D30" s="10" t="s">
        <v>242</v>
      </c>
      <c r="E30" s="10" t="s">
        <v>243</v>
      </c>
      <c r="F30" s="10" t="s">
        <v>244</v>
      </c>
      <c r="G30" s="10" t="s">
        <v>238</v>
      </c>
      <c r="H30" s="13" t="n">
        <v>1</v>
      </c>
    </row>
    <row r="31" customFormat="false" ht="23.85" hidden="false" customHeight="false" outlineLevel="0" collapsed="false">
      <c r="A31" s="10" t="s">
        <v>245</v>
      </c>
      <c r="B31" s="10" t="s">
        <v>240</v>
      </c>
      <c r="C31" s="10" t="s">
        <v>246</v>
      </c>
      <c r="D31" s="10" t="s">
        <v>247</v>
      </c>
      <c r="E31" s="10" t="s">
        <v>248</v>
      </c>
      <c r="F31" s="10" t="s">
        <v>129</v>
      </c>
      <c r="G31" s="10" t="s">
        <v>238</v>
      </c>
      <c r="H31" s="13" t="n">
        <v>1</v>
      </c>
    </row>
    <row r="32" customFormat="false" ht="23.85" hidden="false" customHeight="false" outlineLevel="0" collapsed="false">
      <c r="A32" s="10" t="s">
        <v>249</v>
      </c>
      <c r="B32" s="10" t="s">
        <v>240</v>
      </c>
      <c r="C32" s="10" t="s">
        <v>250</v>
      </c>
      <c r="D32" s="10" t="s">
        <v>251</v>
      </c>
      <c r="E32" s="10" t="s">
        <v>252</v>
      </c>
      <c r="F32" s="10" t="s">
        <v>150</v>
      </c>
      <c r="G32" s="10" t="s">
        <v>253</v>
      </c>
      <c r="H32" s="13" t="n">
        <v>1</v>
      </c>
    </row>
    <row r="33" customFormat="false" ht="23.85" hidden="false" customHeight="false" outlineLevel="0" collapsed="false">
      <c r="A33" s="10" t="s">
        <v>254</v>
      </c>
      <c r="B33" s="10" t="s">
        <v>240</v>
      </c>
      <c r="C33" s="10" t="s">
        <v>255</v>
      </c>
      <c r="D33" s="10" t="s">
        <v>256</v>
      </c>
      <c r="E33" s="10" t="s">
        <v>257</v>
      </c>
      <c r="F33" s="10" t="s">
        <v>129</v>
      </c>
      <c r="G33" s="10" t="s">
        <v>253</v>
      </c>
      <c r="H33" s="13" t="n">
        <v>1</v>
      </c>
    </row>
    <row r="34" customFormat="false" ht="23.85" hidden="false" customHeight="false" outlineLevel="0" collapsed="false">
      <c r="A34" s="10" t="s">
        <v>258</v>
      </c>
      <c r="B34" s="10" t="s">
        <v>240</v>
      </c>
      <c r="C34" s="10" t="s">
        <v>259</v>
      </c>
      <c r="D34" s="10" t="s">
        <v>260</v>
      </c>
      <c r="E34" s="10" t="s">
        <v>261</v>
      </c>
      <c r="F34" s="10" t="s">
        <v>262</v>
      </c>
      <c r="G34" s="10" t="s">
        <v>263</v>
      </c>
      <c r="H34" s="13" t="n">
        <v>1</v>
      </c>
    </row>
    <row r="35" customFormat="false" ht="23.85" hidden="false" customHeight="false" outlineLevel="0" collapsed="false">
      <c r="A35" s="10" t="s">
        <v>264</v>
      </c>
      <c r="B35" s="10" t="s">
        <v>240</v>
      </c>
      <c r="C35" s="10" t="s">
        <v>265</v>
      </c>
      <c r="D35" s="10" t="s">
        <v>266</v>
      </c>
      <c r="E35" s="10" t="s">
        <v>267</v>
      </c>
      <c r="F35" s="10" t="s">
        <v>139</v>
      </c>
      <c r="G35" s="10" t="s">
        <v>268</v>
      </c>
      <c r="H35" s="13" t="n">
        <v>1</v>
      </c>
    </row>
    <row r="36" customFormat="false" ht="23.85" hidden="false" customHeight="false" outlineLevel="0" collapsed="false">
      <c r="A36" s="10" t="s">
        <v>269</v>
      </c>
      <c r="B36" s="10" t="s">
        <v>240</v>
      </c>
      <c r="C36" s="10" t="s">
        <v>270</v>
      </c>
      <c r="D36" s="10" t="s">
        <v>271</v>
      </c>
      <c r="E36" s="10" t="s">
        <v>272</v>
      </c>
      <c r="F36" s="10" t="s">
        <v>273</v>
      </c>
      <c r="G36" s="10" t="s">
        <v>47</v>
      </c>
      <c r="H36" s="13" t="n">
        <v>1</v>
      </c>
    </row>
    <row r="38" customFormat="false" ht="15" hidden="false" customHeight="false" outlineLevel="0" collapsed="false">
      <c r="A38" s="3"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6"/>
    <col collapsed="false" customWidth="true" hidden="false" outlineLevel="0" max="4" min="4" style="0" width="11"/>
    <col collapsed="false" customWidth="true" hidden="false" outlineLevel="0" max="5" min="5" style="0" width="24"/>
    <col collapsed="false" customWidth="true" hidden="false" outlineLevel="0" max="6" min="6" style="0" width="42"/>
    <col collapsed="false" customWidth="true" hidden="false" outlineLevel="0" max="8" min="7" style="0" width="12"/>
    <col collapsed="false" customWidth="true" hidden="false" outlineLevel="0" max="9" min="9" style="0" width="9"/>
    <col collapsed="false" customWidth="true" hidden="false" outlineLevel="0" max="11" min="10" style="0" width="8"/>
    <col collapsed="false" customWidth="true" hidden="false" outlineLevel="0" max="12" min="12" style="0" width="34"/>
    <col collapsed="false" customWidth="true" hidden="false" outlineLevel="0" max="13" min="13" style="0" width="10"/>
    <col collapsed="false" customWidth="true" hidden="false" outlineLevel="0" max="14" min="14" style="0" width="18"/>
    <col collapsed="false" customWidth="true" hidden="false" outlineLevel="0" max="15" min="15" style="0" width="34"/>
    <col collapsed="false" customWidth="true" hidden="false" outlineLevel="0" max="16" min="16" style="0" width="12"/>
    <col collapsed="false" customWidth="true" hidden="false" outlineLevel="0" max="17" min="17" style="0" width="22"/>
  </cols>
  <sheetData>
    <row r="1" customFormat="false" ht="17.35" hidden="false" customHeight="false" outlineLevel="0" collapsed="false">
      <c r="A1" s="7" t="s">
        <v>60</v>
      </c>
    </row>
    <row r="2" customFormat="false" ht="15" hidden="false" customHeight="false" outlineLevel="0" collapsed="false">
      <c r="A2" s="8" t="s">
        <v>275</v>
      </c>
    </row>
    <row r="3" customFormat="false" ht="15" hidden="false" customHeight="false" outlineLevel="0" collapsed="false">
      <c r="A3" s="3" t="s">
        <v>62</v>
      </c>
    </row>
    <row r="5" customFormat="false" ht="31.5" hidden="false" customHeight="true" outlineLevel="0" collapsed="false">
      <c r="A5" s="9" t="s">
        <v>276</v>
      </c>
      <c r="B5" s="9" t="s">
        <v>63</v>
      </c>
      <c r="C5" s="9" t="s">
        <v>277</v>
      </c>
      <c r="D5" s="9" t="s">
        <v>106</v>
      </c>
      <c r="E5" s="9" t="s">
        <v>107</v>
      </c>
      <c r="F5" s="9" t="s">
        <v>108</v>
      </c>
      <c r="G5" s="9" t="s">
        <v>278</v>
      </c>
      <c r="H5" s="9" t="s">
        <v>279</v>
      </c>
      <c r="I5" s="9" t="s">
        <v>280</v>
      </c>
      <c r="J5" s="9" t="s">
        <v>113</v>
      </c>
      <c r="K5" s="9" t="s">
        <v>281</v>
      </c>
      <c r="L5" s="9" t="s">
        <v>282</v>
      </c>
      <c r="M5" s="9" t="s">
        <v>283</v>
      </c>
      <c r="N5" s="9" t="s">
        <v>284</v>
      </c>
      <c r="O5" s="9" t="s">
        <v>285</v>
      </c>
      <c r="P5" s="9" t="s">
        <v>286</v>
      </c>
      <c r="Q5" s="9" t="s">
        <v>287</v>
      </c>
    </row>
    <row r="6" customFormat="false" ht="23.85" hidden="false" customHeight="false" outlineLevel="0" collapsed="false">
      <c r="A6" s="10" t="str">
        <f aca="false">B6&amp;"|"&amp;D6</f>
        <v>BWA|M01</v>
      </c>
      <c r="B6" s="10" t="s">
        <v>77</v>
      </c>
      <c r="C6" s="10" t="s">
        <v>78</v>
      </c>
      <c r="D6" s="10" t="s">
        <v>114</v>
      </c>
      <c r="E6" s="10" t="s">
        <v>103</v>
      </c>
      <c r="F6" s="10" t="s">
        <v>115</v>
      </c>
      <c r="G6" s="12"/>
      <c r="H6" s="12"/>
      <c r="I6" s="13" t="s">
        <v>288</v>
      </c>
      <c r="J6" s="14" t="n">
        <f aca="false">IFERROR(INDEX(02_Milestone_Catalogue!$H$6:$H$36,MATCH($D6,02_Milestone_Catalogue!$A$6:$A$36,0)),1)</f>
        <v>1</v>
      </c>
      <c r="K6" s="15" t="n">
        <f aca="false">IF($I6="C",1,IF($I6="IP",0.5,IF($I6="D",0.25,IF($I6="NA","",0))))</f>
        <v>0</v>
      </c>
      <c r="L6" s="11"/>
      <c r="M6" s="13" t="s">
        <v>84</v>
      </c>
      <c r="N6" s="11"/>
      <c r="O6" s="11" t="s">
        <v>289</v>
      </c>
      <c r="P6" s="12"/>
      <c r="Q6" s="11"/>
    </row>
    <row r="7" customFormat="false" ht="23.85" hidden="false" customHeight="false" outlineLevel="0" collapsed="false">
      <c r="A7" s="10" t="str">
        <f aca="false">B7&amp;"|"&amp;D7</f>
        <v>BWA|M02</v>
      </c>
      <c r="B7" s="10" t="s">
        <v>77</v>
      </c>
      <c r="C7" s="10" t="s">
        <v>78</v>
      </c>
      <c r="D7" s="10" t="s">
        <v>120</v>
      </c>
      <c r="E7" s="10" t="s">
        <v>103</v>
      </c>
      <c r="F7" s="10" t="s">
        <v>121</v>
      </c>
      <c r="G7" s="12"/>
      <c r="H7" s="12"/>
      <c r="I7" s="13" t="s">
        <v>290</v>
      </c>
      <c r="J7" s="14" t="n">
        <f aca="false">IFERROR(INDEX(02_Milestone_Catalogue!$H$6:$H$36,MATCH($D7,02_Milestone_Catalogue!$A$6:$A$36,0)),1)</f>
        <v>1</v>
      </c>
      <c r="K7" s="15" t="n">
        <f aca="false">IF($I7="C",1,IF($I7="IP",0.5,IF($I7="D",0.25,IF($I7="NA","",0))))</f>
        <v>1</v>
      </c>
      <c r="L7" s="11"/>
      <c r="M7" s="13" t="s">
        <v>84</v>
      </c>
      <c r="N7" s="11"/>
      <c r="O7" s="11" t="s">
        <v>291</v>
      </c>
      <c r="P7" s="12"/>
      <c r="Q7" s="11"/>
    </row>
    <row r="8" customFormat="false" ht="23.85" hidden="false" customHeight="false" outlineLevel="0" collapsed="false">
      <c r="A8" s="10" t="str">
        <f aca="false">B8&amp;"|"&amp;D8</f>
        <v>BWA|M03</v>
      </c>
      <c r="B8" s="10" t="s">
        <v>77</v>
      </c>
      <c r="C8" s="10" t="s">
        <v>78</v>
      </c>
      <c r="D8" s="10" t="s">
        <v>125</v>
      </c>
      <c r="E8" s="10" t="s">
        <v>103</v>
      </c>
      <c r="F8" s="10" t="s">
        <v>126</v>
      </c>
      <c r="G8" s="12"/>
      <c r="H8" s="12"/>
      <c r="I8" s="13" t="s">
        <v>290</v>
      </c>
      <c r="J8" s="14" t="n">
        <f aca="false">IFERROR(INDEX(02_Milestone_Catalogue!$H$6:$H$36,MATCH($D8,02_Milestone_Catalogue!$A$6:$A$36,0)),1)</f>
        <v>1</v>
      </c>
      <c r="K8" s="15" t="n">
        <f aca="false">IF($I8="C",1,IF($I8="IP",0.5,IF($I8="D",0.25,IF($I8="NA","",0))))</f>
        <v>1</v>
      </c>
      <c r="L8" s="11"/>
      <c r="M8" s="13" t="s">
        <v>84</v>
      </c>
      <c r="N8" s="11"/>
      <c r="O8" s="11" t="s">
        <v>291</v>
      </c>
      <c r="P8" s="12"/>
      <c r="Q8" s="11"/>
    </row>
    <row r="9" customFormat="false" ht="23.85" hidden="false" customHeight="false" outlineLevel="0" collapsed="false">
      <c r="A9" s="10" t="str">
        <f aca="false">B9&amp;"|"&amp;D9</f>
        <v>BWA|M04</v>
      </c>
      <c r="B9" s="10" t="s">
        <v>77</v>
      </c>
      <c r="C9" s="10" t="s">
        <v>78</v>
      </c>
      <c r="D9" s="10" t="s">
        <v>131</v>
      </c>
      <c r="E9" s="10" t="s">
        <v>103</v>
      </c>
      <c r="F9" s="10" t="s">
        <v>132</v>
      </c>
      <c r="G9" s="12"/>
      <c r="H9" s="12"/>
      <c r="I9" s="13" t="s">
        <v>288</v>
      </c>
      <c r="J9" s="14" t="n">
        <f aca="false">IFERROR(INDEX(02_Milestone_Catalogue!$H$6:$H$36,MATCH($D9,02_Milestone_Catalogue!$A$6:$A$36,0)),1)</f>
        <v>1</v>
      </c>
      <c r="K9" s="15" t="n">
        <f aca="false">IF($I9="C",1,IF($I9="IP",0.5,IF($I9="D",0.25,IF($I9="NA","",0))))</f>
        <v>0</v>
      </c>
      <c r="L9" s="11"/>
      <c r="M9" s="13" t="s">
        <v>84</v>
      </c>
      <c r="N9" s="11"/>
      <c r="O9" s="11" t="s">
        <v>289</v>
      </c>
      <c r="P9" s="12"/>
      <c r="Q9" s="11"/>
    </row>
    <row r="10" customFormat="false" ht="23.85" hidden="false" customHeight="false" outlineLevel="0" collapsed="false">
      <c r="A10" s="10" t="str">
        <f aca="false">B10&amp;"|"&amp;D10</f>
        <v>BWA|M05</v>
      </c>
      <c r="B10" s="10" t="s">
        <v>77</v>
      </c>
      <c r="C10" s="10" t="s">
        <v>78</v>
      </c>
      <c r="D10" s="10" t="s">
        <v>135</v>
      </c>
      <c r="E10" s="10" t="s">
        <v>103</v>
      </c>
      <c r="F10" s="10" t="s">
        <v>136</v>
      </c>
      <c r="G10" s="12"/>
      <c r="H10" s="12"/>
      <c r="I10" s="13" t="s">
        <v>288</v>
      </c>
      <c r="J10" s="14" t="n">
        <f aca="false">IFERROR(INDEX(02_Milestone_Catalogue!$H$6:$H$36,MATCH($D10,02_Milestone_Catalogue!$A$6:$A$36,0)),1)</f>
        <v>1</v>
      </c>
      <c r="K10" s="15" t="n">
        <f aca="false">IF($I10="C",1,IF($I10="IP",0.5,IF($I10="D",0.25,IF($I10="NA","",0))))</f>
        <v>0</v>
      </c>
      <c r="L10" s="11"/>
      <c r="M10" s="13" t="s">
        <v>84</v>
      </c>
      <c r="N10" s="11"/>
      <c r="O10" s="11" t="s">
        <v>289</v>
      </c>
      <c r="P10" s="12"/>
      <c r="Q10" s="11"/>
    </row>
    <row r="11" customFormat="false" ht="23.85" hidden="false" customHeight="false" outlineLevel="0" collapsed="false">
      <c r="A11" s="10" t="str">
        <f aca="false">B11&amp;"|"&amp;D11</f>
        <v>BWA|M06</v>
      </c>
      <c r="B11" s="10" t="s">
        <v>77</v>
      </c>
      <c r="C11" s="10" t="s">
        <v>78</v>
      </c>
      <c r="D11" s="10" t="s">
        <v>141</v>
      </c>
      <c r="E11" s="10" t="s">
        <v>103</v>
      </c>
      <c r="F11" s="10" t="s">
        <v>142</v>
      </c>
      <c r="G11" s="12"/>
      <c r="H11" s="12"/>
      <c r="I11" s="13" t="s">
        <v>288</v>
      </c>
      <c r="J11" s="14" t="n">
        <f aca="false">IFERROR(INDEX(02_Milestone_Catalogue!$H$6:$H$36,MATCH($D11,02_Milestone_Catalogue!$A$6:$A$36,0)),1)</f>
        <v>1</v>
      </c>
      <c r="K11" s="15" t="n">
        <f aca="false">IF($I11="C",1,IF($I11="IP",0.5,IF($I11="D",0.25,IF($I11="NA","",0))))</f>
        <v>0</v>
      </c>
      <c r="L11" s="11"/>
      <c r="M11" s="13" t="s">
        <v>84</v>
      </c>
      <c r="N11" s="11"/>
      <c r="O11" s="11" t="s">
        <v>289</v>
      </c>
      <c r="P11" s="12"/>
      <c r="Q11" s="11"/>
    </row>
    <row r="12" customFormat="false" ht="23.85" hidden="false" customHeight="false" outlineLevel="0" collapsed="false">
      <c r="A12" s="10" t="str">
        <f aca="false">B12&amp;"|"&amp;D12</f>
        <v>BWA|M07</v>
      </c>
      <c r="B12" s="10" t="s">
        <v>77</v>
      </c>
      <c r="C12" s="10" t="s">
        <v>78</v>
      </c>
      <c r="D12" s="10" t="s">
        <v>146</v>
      </c>
      <c r="E12" s="10" t="s">
        <v>88</v>
      </c>
      <c r="F12" s="10" t="s">
        <v>147</v>
      </c>
      <c r="G12" s="12"/>
      <c r="H12" s="12"/>
      <c r="I12" s="13" t="s">
        <v>290</v>
      </c>
      <c r="J12" s="14" t="n">
        <f aca="false">IFERROR(INDEX(02_Milestone_Catalogue!$H$6:$H$36,MATCH($D12,02_Milestone_Catalogue!$A$6:$A$36,0)),1)</f>
        <v>1</v>
      </c>
      <c r="K12" s="15" t="n">
        <f aca="false">IF($I12="C",1,IF($I12="IP",0.5,IF($I12="D",0.25,IF($I12="NA","",0))))</f>
        <v>1</v>
      </c>
      <c r="L12" s="11"/>
      <c r="M12" s="13" t="s">
        <v>84</v>
      </c>
      <c r="N12" s="11"/>
      <c r="O12" s="11" t="s">
        <v>291</v>
      </c>
      <c r="P12" s="12"/>
      <c r="Q12" s="11"/>
    </row>
    <row r="13" customFormat="false" ht="23.85" hidden="false" customHeight="false" outlineLevel="0" collapsed="false">
      <c r="A13" s="10" t="str">
        <f aca="false">B13&amp;"|"&amp;D13</f>
        <v>BWA|M08</v>
      </c>
      <c r="B13" s="10" t="s">
        <v>77</v>
      </c>
      <c r="C13" s="10" t="s">
        <v>78</v>
      </c>
      <c r="D13" s="10" t="s">
        <v>152</v>
      </c>
      <c r="E13" s="10" t="s">
        <v>88</v>
      </c>
      <c r="F13" s="10" t="s">
        <v>153</v>
      </c>
      <c r="G13" s="12"/>
      <c r="H13" s="12"/>
      <c r="I13" s="13" t="s">
        <v>290</v>
      </c>
      <c r="J13" s="14" t="n">
        <f aca="false">IFERROR(INDEX(02_Milestone_Catalogue!$H$6:$H$36,MATCH($D13,02_Milestone_Catalogue!$A$6:$A$36,0)),1)</f>
        <v>1</v>
      </c>
      <c r="K13" s="15" t="n">
        <f aca="false">IF($I13="C",1,IF($I13="IP",0.5,IF($I13="D",0.25,IF($I13="NA","",0))))</f>
        <v>1</v>
      </c>
      <c r="L13" s="11"/>
      <c r="M13" s="13" t="s">
        <v>84</v>
      </c>
      <c r="N13" s="11"/>
      <c r="O13" s="11" t="s">
        <v>291</v>
      </c>
      <c r="P13" s="12"/>
      <c r="Q13" s="11"/>
    </row>
    <row r="14" customFormat="false" ht="23.85" hidden="false" customHeight="false" outlineLevel="0" collapsed="false">
      <c r="A14" s="10" t="str">
        <f aca="false">B14&amp;"|"&amp;D14</f>
        <v>BWA|M09</v>
      </c>
      <c r="B14" s="10" t="s">
        <v>77</v>
      </c>
      <c r="C14" s="10" t="s">
        <v>78</v>
      </c>
      <c r="D14" s="10" t="s">
        <v>158</v>
      </c>
      <c r="E14" s="10" t="s">
        <v>88</v>
      </c>
      <c r="F14" s="10" t="s">
        <v>159</v>
      </c>
      <c r="G14" s="12"/>
      <c r="H14" s="12"/>
      <c r="I14" s="13" t="s">
        <v>288</v>
      </c>
      <c r="J14" s="14" t="n">
        <f aca="false">IFERROR(INDEX(02_Milestone_Catalogue!$H$6:$H$36,MATCH($D14,02_Milestone_Catalogue!$A$6:$A$36,0)),1)</f>
        <v>1</v>
      </c>
      <c r="K14" s="15" t="n">
        <f aca="false">IF($I14="C",1,IF($I14="IP",0.5,IF($I14="D",0.25,IF($I14="NA","",0))))</f>
        <v>0</v>
      </c>
      <c r="L14" s="11"/>
      <c r="M14" s="13" t="s">
        <v>84</v>
      </c>
      <c r="N14" s="11"/>
      <c r="O14" s="11" t="s">
        <v>289</v>
      </c>
      <c r="P14" s="12"/>
      <c r="Q14" s="11"/>
    </row>
    <row r="15" customFormat="false" ht="23.85" hidden="false" customHeight="false" outlineLevel="0" collapsed="false">
      <c r="A15" s="10" t="str">
        <f aca="false">B15&amp;"|"&amp;D15</f>
        <v>BWA|M10</v>
      </c>
      <c r="B15" s="10" t="s">
        <v>77</v>
      </c>
      <c r="C15" s="10" t="s">
        <v>78</v>
      </c>
      <c r="D15" s="10" t="s">
        <v>163</v>
      </c>
      <c r="E15" s="10" t="s">
        <v>88</v>
      </c>
      <c r="F15" s="10" t="s">
        <v>164</v>
      </c>
      <c r="G15" s="12"/>
      <c r="H15" s="12"/>
      <c r="I15" s="13" t="s">
        <v>288</v>
      </c>
      <c r="J15" s="14" t="n">
        <f aca="false">IFERROR(INDEX(02_Milestone_Catalogue!$H$6:$H$36,MATCH($D15,02_Milestone_Catalogue!$A$6:$A$36,0)),1)</f>
        <v>1</v>
      </c>
      <c r="K15" s="15" t="n">
        <f aca="false">IF($I15="C",1,IF($I15="IP",0.5,IF($I15="D",0.25,IF($I15="NA","",0))))</f>
        <v>0</v>
      </c>
      <c r="L15" s="11"/>
      <c r="M15" s="13" t="s">
        <v>84</v>
      </c>
      <c r="N15" s="11"/>
      <c r="O15" s="11" t="s">
        <v>289</v>
      </c>
      <c r="P15" s="12"/>
      <c r="Q15" s="11"/>
    </row>
    <row r="16" customFormat="false" ht="23.85" hidden="false" customHeight="false" outlineLevel="0" collapsed="false">
      <c r="A16" s="10" t="str">
        <f aca="false">B16&amp;"|"&amp;D16</f>
        <v>BWA|M11</v>
      </c>
      <c r="B16" s="10" t="s">
        <v>77</v>
      </c>
      <c r="C16" s="10" t="s">
        <v>78</v>
      </c>
      <c r="D16" s="10" t="s">
        <v>168</v>
      </c>
      <c r="E16" s="10" t="s">
        <v>88</v>
      </c>
      <c r="F16" s="10" t="s">
        <v>169</v>
      </c>
      <c r="G16" s="12"/>
      <c r="H16" s="12"/>
      <c r="I16" s="13" t="s">
        <v>288</v>
      </c>
      <c r="J16" s="14" t="n">
        <f aca="false">IFERROR(INDEX(02_Milestone_Catalogue!$H$6:$H$36,MATCH($D16,02_Milestone_Catalogue!$A$6:$A$36,0)),1)</f>
        <v>1</v>
      </c>
      <c r="K16" s="15" t="n">
        <f aca="false">IF($I16="C",1,IF($I16="IP",0.5,IF($I16="D",0.25,IF($I16="NA","",0))))</f>
        <v>0</v>
      </c>
      <c r="L16" s="11"/>
      <c r="M16" s="13" t="s">
        <v>84</v>
      </c>
      <c r="N16" s="11"/>
      <c r="O16" s="11" t="s">
        <v>289</v>
      </c>
      <c r="P16" s="12"/>
      <c r="Q16" s="11"/>
    </row>
    <row r="17" customFormat="false" ht="23.85" hidden="false" customHeight="false" outlineLevel="0" collapsed="false">
      <c r="A17" s="10" t="str">
        <f aca="false">B17&amp;"|"&amp;D17</f>
        <v>BWA|M12</v>
      </c>
      <c r="B17" s="10" t="s">
        <v>77</v>
      </c>
      <c r="C17" s="10" t="s">
        <v>78</v>
      </c>
      <c r="D17" s="10" t="s">
        <v>173</v>
      </c>
      <c r="E17" s="10" t="s">
        <v>88</v>
      </c>
      <c r="F17" s="10" t="s">
        <v>174</v>
      </c>
      <c r="G17" s="12"/>
      <c r="H17" s="12"/>
      <c r="I17" s="13" t="s">
        <v>288</v>
      </c>
      <c r="J17" s="14" t="n">
        <f aca="false">IFERROR(INDEX(02_Milestone_Catalogue!$H$6:$H$36,MATCH($D17,02_Milestone_Catalogue!$A$6:$A$36,0)),1)</f>
        <v>1</v>
      </c>
      <c r="K17" s="15" t="n">
        <f aca="false">IF($I17="C",1,IF($I17="IP",0.5,IF($I17="D",0.25,IF($I17="NA","",0))))</f>
        <v>0</v>
      </c>
      <c r="L17" s="11"/>
      <c r="M17" s="13" t="s">
        <v>84</v>
      </c>
      <c r="N17" s="11"/>
      <c r="O17" s="11" t="s">
        <v>289</v>
      </c>
      <c r="P17" s="12"/>
      <c r="Q17" s="11"/>
    </row>
    <row r="18" customFormat="false" ht="23.85" hidden="false" customHeight="false" outlineLevel="0" collapsed="false">
      <c r="A18" s="10" t="str">
        <f aca="false">B18&amp;"|"&amp;D18</f>
        <v>BWA|M13</v>
      </c>
      <c r="B18" s="10" t="s">
        <v>77</v>
      </c>
      <c r="C18" s="10" t="s">
        <v>78</v>
      </c>
      <c r="D18" s="10" t="s">
        <v>178</v>
      </c>
      <c r="E18" s="10" t="s">
        <v>88</v>
      </c>
      <c r="F18" s="10" t="s">
        <v>179</v>
      </c>
      <c r="G18" s="12"/>
      <c r="H18" s="12"/>
      <c r="I18" s="13" t="s">
        <v>290</v>
      </c>
      <c r="J18" s="14" t="n">
        <f aca="false">IFERROR(INDEX(02_Milestone_Catalogue!$H$6:$H$36,MATCH($D18,02_Milestone_Catalogue!$A$6:$A$36,0)),1)</f>
        <v>1</v>
      </c>
      <c r="K18" s="15" t="n">
        <f aca="false">IF($I18="C",1,IF($I18="IP",0.5,IF($I18="D",0.25,IF($I18="NA","",0))))</f>
        <v>1</v>
      </c>
      <c r="L18" s="11"/>
      <c r="M18" s="13" t="s">
        <v>84</v>
      </c>
      <c r="N18" s="11"/>
      <c r="O18" s="11" t="s">
        <v>291</v>
      </c>
      <c r="P18" s="12"/>
      <c r="Q18" s="11"/>
    </row>
    <row r="19" customFormat="false" ht="15" hidden="false" customHeight="false" outlineLevel="0" collapsed="false">
      <c r="A19" s="10" t="str">
        <f aca="false">B19&amp;"|"&amp;D19</f>
        <v>BWA|M14</v>
      </c>
      <c r="B19" s="10" t="s">
        <v>77</v>
      </c>
      <c r="C19" s="10" t="s">
        <v>78</v>
      </c>
      <c r="D19" s="10" t="s">
        <v>183</v>
      </c>
      <c r="E19" s="10" t="s">
        <v>88</v>
      </c>
      <c r="F19" s="10" t="s">
        <v>184</v>
      </c>
      <c r="G19" s="12"/>
      <c r="H19" s="12"/>
      <c r="I19" s="13" t="s">
        <v>290</v>
      </c>
      <c r="J19" s="14" t="n">
        <f aca="false">IFERROR(INDEX(02_Milestone_Catalogue!$H$6:$H$36,MATCH($D19,02_Milestone_Catalogue!$A$6:$A$36,0)),1)</f>
        <v>1</v>
      </c>
      <c r="K19" s="15" t="n">
        <f aca="false">IF($I19="C",1,IF($I19="IP",0.5,IF($I19="D",0.25,IF($I19="NA","",0))))</f>
        <v>1</v>
      </c>
      <c r="L19" s="11"/>
      <c r="M19" s="13" t="s">
        <v>84</v>
      </c>
      <c r="N19" s="11"/>
      <c r="O19" s="11" t="s">
        <v>291</v>
      </c>
      <c r="P19" s="12"/>
      <c r="Q19" s="11"/>
    </row>
    <row r="20" customFormat="false" ht="15" hidden="false" customHeight="false" outlineLevel="0" collapsed="false">
      <c r="A20" s="10" t="str">
        <f aca="false">B20&amp;"|"&amp;D20</f>
        <v>BWA|M15</v>
      </c>
      <c r="B20" s="10" t="s">
        <v>77</v>
      </c>
      <c r="C20" s="10" t="s">
        <v>78</v>
      </c>
      <c r="D20" s="10" t="s">
        <v>188</v>
      </c>
      <c r="E20" s="10" t="s">
        <v>88</v>
      </c>
      <c r="F20" s="10" t="s">
        <v>189</v>
      </c>
      <c r="G20" s="12"/>
      <c r="H20" s="12"/>
      <c r="I20" s="13" t="s">
        <v>290</v>
      </c>
      <c r="J20" s="14" t="n">
        <f aca="false">IFERROR(INDEX(02_Milestone_Catalogue!$H$6:$H$36,MATCH($D20,02_Milestone_Catalogue!$A$6:$A$36,0)),1)</f>
        <v>1</v>
      </c>
      <c r="K20" s="15" t="n">
        <f aca="false">IF($I20="C",1,IF($I20="IP",0.5,IF($I20="D",0.25,IF($I20="NA","",0))))</f>
        <v>1</v>
      </c>
      <c r="L20" s="11"/>
      <c r="M20" s="13" t="s">
        <v>84</v>
      </c>
      <c r="N20" s="11"/>
      <c r="O20" s="11" t="s">
        <v>291</v>
      </c>
      <c r="P20" s="12"/>
      <c r="Q20" s="11"/>
    </row>
    <row r="21" customFormat="false" ht="15" hidden="false" customHeight="false" outlineLevel="0" collapsed="false">
      <c r="A21" s="10" t="str">
        <f aca="false">B21&amp;"|"&amp;D21</f>
        <v>BWA|M16</v>
      </c>
      <c r="B21" s="10" t="s">
        <v>77</v>
      </c>
      <c r="C21" s="10" t="s">
        <v>78</v>
      </c>
      <c r="D21" s="10" t="s">
        <v>193</v>
      </c>
      <c r="E21" s="10" t="s">
        <v>83</v>
      </c>
      <c r="F21" s="10" t="s">
        <v>194</v>
      </c>
      <c r="G21" s="12"/>
      <c r="H21" s="12"/>
      <c r="I21" s="13" t="s">
        <v>292</v>
      </c>
      <c r="J21" s="14" t="n">
        <f aca="false">IFERROR(INDEX(02_Milestone_Catalogue!$H$6:$H$36,MATCH($D21,02_Milestone_Catalogue!$A$6:$A$36,0)),1)</f>
        <v>1</v>
      </c>
      <c r="K21" s="15" t="n">
        <f aca="false">IF($I21="C",1,IF($I21="IP",0.5,IF($I21="D",0.25,IF($I21="NA","",0))))</f>
        <v>0.5</v>
      </c>
      <c r="L21" s="11"/>
      <c r="M21" s="13" t="s">
        <v>84</v>
      </c>
      <c r="N21" s="11"/>
      <c r="O21" s="11" t="s">
        <v>291</v>
      </c>
      <c r="P21" s="12"/>
      <c r="Q21" s="11"/>
    </row>
    <row r="22" customFormat="false" ht="23.85" hidden="false" customHeight="false" outlineLevel="0" collapsed="false">
      <c r="A22" s="10" t="str">
        <f aca="false">B22&amp;"|"&amp;D22</f>
        <v>BWA|M17</v>
      </c>
      <c r="B22" s="10" t="s">
        <v>77</v>
      </c>
      <c r="C22" s="10" t="s">
        <v>78</v>
      </c>
      <c r="D22" s="10" t="s">
        <v>199</v>
      </c>
      <c r="E22" s="10" t="s">
        <v>83</v>
      </c>
      <c r="F22" s="10" t="s">
        <v>200</v>
      </c>
      <c r="G22" s="12"/>
      <c r="H22" s="12"/>
      <c r="I22" s="13" t="s">
        <v>288</v>
      </c>
      <c r="J22" s="14" t="n">
        <f aca="false">IFERROR(INDEX(02_Milestone_Catalogue!$H$6:$H$36,MATCH($D22,02_Milestone_Catalogue!$A$6:$A$36,0)),1)</f>
        <v>1</v>
      </c>
      <c r="K22" s="15" t="n">
        <f aca="false">IF($I22="C",1,IF($I22="IP",0.5,IF($I22="D",0.25,IF($I22="NA","",0))))</f>
        <v>0</v>
      </c>
      <c r="L22" s="11"/>
      <c r="M22" s="13" t="s">
        <v>84</v>
      </c>
      <c r="N22" s="11"/>
      <c r="O22" s="11" t="s">
        <v>289</v>
      </c>
      <c r="P22" s="12"/>
      <c r="Q22" s="11"/>
    </row>
    <row r="23" customFormat="false" ht="23.85" hidden="false" customHeight="false" outlineLevel="0" collapsed="false">
      <c r="A23" s="10" t="str">
        <f aca="false">B23&amp;"|"&amp;D23</f>
        <v>BWA|M18</v>
      </c>
      <c r="B23" s="10" t="s">
        <v>77</v>
      </c>
      <c r="C23" s="10" t="s">
        <v>78</v>
      </c>
      <c r="D23" s="10" t="s">
        <v>204</v>
      </c>
      <c r="E23" s="10" t="s">
        <v>83</v>
      </c>
      <c r="F23" s="10" t="s">
        <v>205</v>
      </c>
      <c r="G23" s="12"/>
      <c r="H23" s="12"/>
      <c r="I23" s="13" t="s">
        <v>288</v>
      </c>
      <c r="J23" s="14" t="n">
        <f aca="false">IFERROR(INDEX(02_Milestone_Catalogue!$H$6:$H$36,MATCH($D23,02_Milestone_Catalogue!$A$6:$A$36,0)),1)</f>
        <v>1</v>
      </c>
      <c r="K23" s="15" t="n">
        <f aca="false">IF($I23="C",1,IF($I23="IP",0.5,IF($I23="D",0.25,IF($I23="NA","",0))))</f>
        <v>0</v>
      </c>
      <c r="L23" s="11"/>
      <c r="M23" s="13" t="s">
        <v>84</v>
      </c>
      <c r="N23" s="11"/>
      <c r="O23" s="11" t="s">
        <v>291</v>
      </c>
      <c r="P23" s="12"/>
      <c r="Q23" s="11"/>
    </row>
    <row r="24" customFormat="false" ht="23.85" hidden="false" customHeight="false" outlineLevel="0" collapsed="false">
      <c r="A24" s="10" t="str">
        <f aca="false">B24&amp;"|"&amp;D24</f>
        <v>BWA|M19</v>
      </c>
      <c r="B24" s="10" t="s">
        <v>77</v>
      </c>
      <c r="C24" s="10" t="s">
        <v>78</v>
      </c>
      <c r="D24" s="10" t="s">
        <v>208</v>
      </c>
      <c r="E24" s="10" t="s">
        <v>83</v>
      </c>
      <c r="F24" s="10" t="s">
        <v>209</v>
      </c>
      <c r="G24" s="12"/>
      <c r="H24" s="12"/>
      <c r="I24" s="13" t="s">
        <v>288</v>
      </c>
      <c r="J24" s="14" t="n">
        <f aca="false">IFERROR(INDEX(02_Milestone_Catalogue!$H$6:$H$36,MATCH($D24,02_Milestone_Catalogue!$A$6:$A$36,0)),1)</f>
        <v>1</v>
      </c>
      <c r="K24" s="15" t="n">
        <f aca="false">IF($I24="C",1,IF($I24="IP",0.5,IF($I24="D",0.25,IF($I24="NA","",0))))</f>
        <v>0</v>
      </c>
      <c r="L24" s="11"/>
      <c r="M24" s="13" t="s">
        <v>84</v>
      </c>
      <c r="N24" s="11"/>
      <c r="O24" s="11" t="s">
        <v>289</v>
      </c>
      <c r="P24" s="12"/>
      <c r="Q24" s="11"/>
    </row>
    <row r="25" customFormat="false" ht="23.85" hidden="false" customHeight="false" outlineLevel="0" collapsed="false">
      <c r="A25" s="10" t="str">
        <f aca="false">B25&amp;"|"&amp;D25</f>
        <v>BWA|M20</v>
      </c>
      <c r="B25" s="10" t="s">
        <v>77</v>
      </c>
      <c r="C25" s="10" t="s">
        <v>78</v>
      </c>
      <c r="D25" s="10" t="s">
        <v>213</v>
      </c>
      <c r="E25" s="10" t="s">
        <v>83</v>
      </c>
      <c r="F25" s="10" t="s">
        <v>214</v>
      </c>
      <c r="G25" s="12"/>
      <c r="H25" s="12"/>
      <c r="I25" s="13" t="s">
        <v>288</v>
      </c>
      <c r="J25" s="14" t="n">
        <f aca="false">IFERROR(INDEX(02_Milestone_Catalogue!$H$6:$H$36,MATCH($D25,02_Milestone_Catalogue!$A$6:$A$36,0)),1)</f>
        <v>1</v>
      </c>
      <c r="K25" s="15" t="n">
        <f aca="false">IF($I25="C",1,IF($I25="IP",0.5,IF($I25="D",0.25,IF($I25="NA","",0))))</f>
        <v>0</v>
      </c>
      <c r="L25" s="11"/>
      <c r="M25" s="13" t="s">
        <v>84</v>
      </c>
      <c r="N25" s="11"/>
      <c r="O25" s="11" t="s">
        <v>289</v>
      </c>
      <c r="P25" s="12"/>
      <c r="Q25" s="11"/>
    </row>
    <row r="26" customFormat="false" ht="23.85" hidden="false" customHeight="false" outlineLevel="0" collapsed="false">
      <c r="A26" s="10" t="str">
        <f aca="false">B26&amp;"|"&amp;D26</f>
        <v>BWA|M21</v>
      </c>
      <c r="B26" s="10" t="s">
        <v>77</v>
      </c>
      <c r="C26" s="10" t="s">
        <v>78</v>
      </c>
      <c r="D26" s="10" t="s">
        <v>218</v>
      </c>
      <c r="E26" s="10" t="s">
        <v>92</v>
      </c>
      <c r="F26" s="10" t="s">
        <v>219</v>
      </c>
      <c r="G26" s="12"/>
      <c r="H26" s="12"/>
      <c r="I26" s="13" t="s">
        <v>288</v>
      </c>
      <c r="J26" s="14" t="n">
        <f aca="false">IFERROR(INDEX(02_Milestone_Catalogue!$H$6:$H$36,MATCH($D26,02_Milestone_Catalogue!$A$6:$A$36,0)),1)</f>
        <v>1</v>
      </c>
      <c r="K26" s="15" t="n">
        <f aca="false">IF($I26="C",1,IF($I26="IP",0.5,IF($I26="D",0.25,IF($I26="NA","",0))))</f>
        <v>0</v>
      </c>
      <c r="L26" s="11"/>
      <c r="M26" s="13" t="s">
        <v>84</v>
      </c>
      <c r="N26" s="11"/>
      <c r="O26" s="11" t="s">
        <v>291</v>
      </c>
      <c r="P26" s="12"/>
      <c r="Q26" s="11"/>
    </row>
    <row r="27" customFormat="false" ht="23.85" hidden="false" customHeight="false" outlineLevel="0" collapsed="false">
      <c r="A27" s="10" t="str">
        <f aca="false">B27&amp;"|"&amp;D27</f>
        <v>BWA|M22</v>
      </c>
      <c r="B27" s="10" t="s">
        <v>77</v>
      </c>
      <c r="C27" s="10" t="s">
        <v>78</v>
      </c>
      <c r="D27" s="10" t="s">
        <v>224</v>
      </c>
      <c r="E27" s="10" t="s">
        <v>92</v>
      </c>
      <c r="F27" s="10" t="s">
        <v>225</v>
      </c>
      <c r="G27" s="12"/>
      <c r="H27" s="12"/>
      <c r="I27" s="13" t="s">
        <v>288</v>
      </c>
      <c r="J27" s="14" t="n">
        <f aca="false">IFERROR(INDEX(02_Milestone_Catalogue!$H$6:$H$36,MATCH($D27,02_Milestone_Catalogue!$A$6:$A$36,0)),1)</f>
        <v>1</v>
      </c>
      <c r="K27" s="15" t="n">
        <f aca="false">IF($I27="C",1,IF($I27="IP",0.5,IF($I27="D",0.25,IF($I27="NA","",0))))</f>
        <v>0</v>
      </c>
      <c r="L27" s="11"/>
      <c r="M27" s="13" t="s">
        <v>84</v>
      </c>
      <c r="N27" s="11"/>
      <c r="O27" s="11" t="s">
        <v>291</v>
      </c>
      <c r="P27" s="12"/>
      <c r="Q27" s="11"/>
    </row>
    <row r="28" customFormat="false" ht="23.85" hidden="false" customHeight="false" outlineLevel="0" collapsed="false">
      <c r="A28" s="10" t="str">
        <f aca="false">B28&amp;"|"&amp;D28</f>
        <v>BWA|M23</v>
      </c>
      <c r="B28" s="10" t="s">
        <v>77</v>
      </c>
      <c r="C28" s="10" t="s">
        <v>78</v>
      </c>
      <c r="D28" s="10" t="s">
        <v>229</v>
      </c>
      <c r="E28" s="10" t="s">
        <v>92</v>
      </c>
      <c r="F28" s="10" t="s">
        <v>230</v>
      </c>
      <c r="G28" s="12"/>
      <c r="H28" s="12"/>
      <c r="I28" s="13" t="s">
        <v>288</v>
      </c>
      <c r="J28" s="14" t="n">
        <f aca="false">IFERROR(INDEX(02_Milestone_Catalogue!$H$6:$H$36,MATCH($D28,02_Milestone_Catalogue!$A$6:$A$36,0)),1)</f>
        <v>1</v>
      </c>
      <c r="K28" s="15" t="n">
        <f aca="false">IF($I28="C",1,IF($I28="IP",0.5,IF($I28="D",0.25,IF($I28="NA","",0))))</f>
        <v>0</v>
      </c>
      <c r="L28" s="11"/>
      <c r="M28" s="13" t="s">
        <v>84</v>
      </c>
      <c r="N28" s="11"/>
      <c r="O28" s="11" t="s">
        <v>291</v>
      </c>
      <c r="P28" s="12"/>
      <c r="Q28" s="11"/>
    </row>
    <row r="29" customFormat="false" ht="23.85" hidden="false" customHeight="false" outlineLevel="0" collapsed="false">
      <c r="A29" s="10" t="str">
        <f aca="false">B29&amp;"|"&amp;D29</f>
        <v>BWA|M24</v>
      </c>
      <c r="B29" s="10" t="s">
        <v>77</v>
      </c>
      <c r="C29" s="10" t="s">
        <v>78</v>
      </c>
      <c r="D29" s="10" t="s">
        <v>234</v>
      </c>
      <c r="E29" s="10" t="s">
        <v>92</v>
      </c>
      <c r="F29" s="10" t="s">
        <v>235</v>
      </c>
      <c r="G29" s="12"/>
      <c r="H29" s="12"/>
      <c r="I29" s="13" t="s">
        <v>288</v>
      </c>
      <c r="J29" s="14" t="n">
        <f aca="false">IFERROR(INDEX(02_Milestone_Catalogue!$H$6:$H$36,MATCH($D29,02_Milestone_Catalogue!$A$6:$A$36,0)),1)</f>
        <v>1</v>
      </c>
      <c r="K29" s="15" t="n">
        <f aca="false">IF($I29="C",1,IF($I29="IP",0.5,IF($I29="D",0.25,IF($I29="NA","",0))))</f>
        <v>0</v>
      </c>
      <c r="L29" s="11"/>
      <c r="M29" s="13" t="s">
        <v>84</v>
      </c>
      <c r="N29" s="11"/>
      <c r="O29" s="11" t="s">
        <v>291</v>
      </c>
      <c r="P29" s="12"/>
      <c r="Q29" s="11"/>
    </row>
    <row r="30" customFormat="false" ht="23.85" hidden="false" customHeight="false" outlineLevel="0" collapsed="false">
      <c r="A30" s="10" t="str">
        <f aca="false">B30&amp;"|"&amp;D30</f>
        <v>BWA|M25</v>
      </c>
      <c r="B30" s="10" t="s">
        <v>77</v>
      </c>
      <c r="C30" s="10" t="s">
        <v>78</v>
      </c>
      <c r="D30" s="10" t="s">
        <v>239</v>
      </c>
      <c r="E30" s="10" t="s">
        <v>240</v>
      </c>
      <c r="F30" s="10" t="s">
        <v>241</v>
      </c>
      <c r="G30" s="12"/>
      <c r="H30" s="12"/>
      <c r="I30" s="13" t="s">
        <v>288</v>
      </c>
      <c r="J30" s="14" t="n">
        <f aca="false">IFERROR(INDEX(02_Milestone_Catalogue!$H$6:$H$36,MATCH($D30,02_Milestone_Catalogue!$A$6:$A$36,0)),1)</f>
        <v>1</v>
      </c>
      <c r="K30" s="15" t="n">
        <f aca="false">IF($I30="C",1,IF($I30="IP",0.5,IF($I30="D",0.25,IF($I30="NA","",0))))</f>
        <v>0</v>
      </c>
      <c r="L30" s="11"/>
      <c r="M30" s="13" t="s">
        <v>84</v>
      </c>
      <c r="N30" s="11"/>
      <c r="O30" s="11" t="s">
        <v>291</v>
      </c>
      <c r="P30" s="12"/>
      <c r="Q30" s="11"/>
    </row>
    <row r="31" customFormat="false" ht="23.85" hidden="false" customHeight="false" outlineLevel="0" collapsed="false">
      <c r="A31" s="10" t="str">
        <f aca="false">B31&amp;"|"&amp;D31</f>
        <v>BWA|M26</v>
      </c>
      <c r="B31" s="10" t="s">
        <v>77</v>
      </c>
      <c r="C31" s="10" t="s">
        <v>78</v>
      </c>
      <c r="D31" s="10" t="s">
        <v>245</v>
      </c>
      <c r="E31" s="10" t="s">
        <v>240</v>
      </c>
      <c r="F31" s="10" t="s">
        <v>246</v>
      </c>
      <c r="G31" s="12"/>
      <c r="H31" s="12"/>
      <c r="I31" s="13" t="s">
        <v>288</v>
      </c>
      <c r="J31" s="14" t="n">
        <f aca="false">IFERROR(INDEX(02_Milestone_Catalogue!$H$6:$H$36,MATCH($D31,02_Milestone_Catalogue!$A$6:$A$36,0)),1)</f>
        <v>1</v>
      </c>
      <c r="K31" s="15" t="n">
        <f aca="false">IF($I31="C",1,IF($I31="IP",0.5,IF($I31="D",0.25,IF($I31="NA","",0))))</f>
        <v>0</v>
      </c>
      <c r="L31" s="11"/>
      <c r="M31" s="13" t="s">
        <v>84</v>
      </c>
      <c r="N31" s="11"/>
      <c r="O31" s="11" t="s">
        <v>291</v>
      </c>
      <c r="P31" s="12"/>
      <c r="Q31" s="11"/>
    </row>
    <row r="32" customFormat="false" ht="23.85" hidden="false" customHeight="false" outlineLevel="0" collapsed="false">
      <c r="A32" s="10" t="str">
        <f aca="false">B32&amp;"|"&amp;D32</f>
        <v>BWA|M27</v>
      </c>
      <c r="B32" s="10" t="s">
        <v>77</v>
      </c>
      <c r="C32" s="10" t="s">
        <v>78</v>
      </c>
      <c r="D32" s="10" t="s">
        <v>249</v>
      </c>
      <c r="E32" s="10" t="s">
        <v>240</v>
      </c>
      <c r="F32" s="10" t="s">
        <v>250</v>
      </c>
      <c r="G32" s="12"/>
      <c r="H32" s="12"/>
      <c r="I32" s="13" t="s">
        <v>288</v>
      </c>
      <c r="J32" s="14" t="n">
        <f aca="false">IFERROR(INDEX(02_Milestone_Catalogue!$H$6:$H$36,MATCH($D32,02_Milestone_Catalogue!$A$6:$A$36,0)),1)</f>
        <v>1</v>
      </c>
      <c r="K32" s="15" t="n">
        <f aca="false">IF($I32="C",1,IF($I32="IP",0.5,IF($I32="D",0.25,IF($I32="NA","",0))))</f>
        <v>0</v>
      </c>
      <c r="L32" s="11"/>
      <c r="M32" s="13" t="s">
        <v>84</v>
      </c>
      <c r="N32" s="11"/>
      <c r="O32" s="11" t="s">
        <v>291</v>
      </c>
      <c r="P32" s="12"/>
      <c r="Q32" s="11"/>
    </row>
    <row r="33" customFormat="false" ht="23.85" hidden="false" customHeight="false" outlineLevel="0" collapsed="false">
      <c r="A33" s="10" t="str">
        <f aca="false">B33&amp;"|"&amp;D33</f>
        <v>BWA|M28</v>
      </c>
      <c r="B33" s="10" t="s">
        <v>77</v>
      </c>
      <c r="C33" s="10" t="s">
        <v>78</v>
      </c>
      <c r="D33" s="10" t="s">
        <v>254</v>
      </c>
      <c r="E33" s="10" t="s">
        <v>240</v>
      </c>
      <c r="F33" s="10" t="s">
        <v>255</v>
      </c>
      <c r="G33" s="12"/>
      <c r="H33" s="12"/>
      <c r="I33" s="13" t="s">
        <v>288</v>
      </c>
      <c r="J33" s="14" t="n">
        <f aca="false">IFERROR(INDEX(02_Milestone_Catalogue!$H$6:$H$36,MATCH($D33,02_Milestone_Catalogue!$A$6:$A$36,0)),1)</f>
        <v>1</v>
      </c>
      <c r="K33" s="15" t="n">
        <f aca="false">IF($I33="C",1,IF($I33="IP",0.5,IF($I33="D",0.25,IF($I33="NA","",0))))</f>
        <v>0</v>
      </c>
      <c r="L33" s="11"/>
      <c r="M33" s="13" t="s">
        <v>84</v>
      </c>
      <c r="N33" s="11"/>
      <c r="O33" s="11" t="s">
        <v>291</v>
      </c>
      <c r="P33" s="12"/>
      <c r="Q33" s="11"/>
    </row>
    <row r="34" customFormat="false" ht="23.85" hidden="false" customHeight="false" outlineLevel="0" collapsed="false">
      <c r="A34" s="10" t="str">
        <f aca="false">B34&amp;"|"&amp;D34</f>
        <v>BWA|M29</v>
      </c>
      <c r="B34" s="10" t="s">
        <v>77</v>
      </c>
      <c r="C34" s="10" t="s">
        <v>78</v>
      </c>
      <c r="D34" s="10" t="s">
        <v>258</v>
      </c>
      <c r="E34" s="10" t="s">
        <v>240</v>
      </c>
      <c r="F34" s="10" t="s">
        <v>259</v>
      </c>
      <c r="G34" s="12"/>
      <c r="H34" s="12"/>
      <c r="I34" s="13" t="s">
        <v>288</v>
      </c>
      <c r="J34" s="14" t="n">
        <f aca="false">IFERROR(INDEX(02_Milestone_Catalogue!$H$6:$H$36,MATCH($D34,02_Milestone_Catalogue!$A$6:$A$36,0)),1)</f>
        <v>1</v>
      </c>
      <c r="K34" s="15" t="n">
        <f aca="false">IF($I34="C",1,IF($I34="IP",0.5,IF($I34="D",0.25,IF($I34="NA","",0))))</f>
        <v>0</v>
      </c>
      <c r="L34" s="11"/>
      <c r="M34" s="13" t="s">
        <v>84</v>
      </c>
      <c r="N34" s="11"/>
      <c r="O34" s="11" t="s">
        <v>289</v>
      </c>
      <c r="P34" s="12"/>
      <c r="Q34" s="11"/>
    </row>
    <row r="35" customFormat="false" ht="23.85" hidden="false" customHeight="false" outlineLevel="0" collapsed="false">
      <c r="A35" s="10" t="str">
        <f aca="false">B35&amp;"|"&amp;D35</f>
        <v>BWA|M30</v>
      </c>
      <c r="B35" s="10" t="s">
        <v>77</v>
      </c>
      <c r="C35" s="10" t="s">
        <v>78</v>
      </c>
      <c r="D35" s="10" t="s">
        <v>264</v>
      </c>
      <c r="E35" s="10" t="s">
        <v>240</v>
      </c>
      <c r="F35" s="10" t="s">
        <v>265</v>
      </c>
      <c r="G35" s="12"/>
      <c r="H35" s="12"/>
      <c r="I35" s="13" t="s">
        <v>288</v>
      </c>
      <c r="J35" s="14" t="n">
        <f aca="false">IFERROR(INDEX(02_Milestone_Catalogue!$H$6:$H$36,MATCH($D35,02_Milestone_Catalogue!$A$6:$A$36,0)),1)</f>
        <v>1</v>
      </c>
      <c r="K35" s="15" t="n">
        <f aca="false">IF($I35="C",1,IF($I35="IP",0.5,IF($I35="D",0.25,IF($I35="NA","",0))))</f>
        <v>0</v>
      </c>
      <c r="L35" s="11"/>
      <c r="M35" s="13" t="s">
        <v>84</v>
      </c>
      <c r="N35" s="11"/>
      <c r="O35" s="11" t="s">
        <v>289</v>
      </c>
      <c r="P35" s="12"/>
      <c r="Q35" s="11"/>
    </row>
    <row r="36" customFormat="false" ht="23.85" hidden="false" customHeight="false" outlineLevel="0" collapsed="false">
      <c r="A36" s="10" t="str">
        <f aca="false">B36&amp;"|"&amp;D36</f>
        <v>BWA|M31</v>
      </c>
      <c r="B36" s="10" t="s">
        <v>77</v>
      </c>
      <c r="C36" s="10" t="s">
        <v>78</v>
      </c>
      <c r="D36" s="10" t="s">
        <v>269</v>
      </c>
      <c r="E36" s="10" t="s">
        <v>240</v>
      </c>
      <c r="F36" s="10" t="s">
        <v>270</v>
      </c>
      <c r="G36" s="12"/>
      <c r="H36" s="12"/>
      <c r="I36" s="13" t="s">
        <v>288</v>
      </c>
      <c r="J36" s="14" t="n">
        <f aca="false">IFERROR(INDEX(02_Milestone_Catalogue!$H$6:$H$36,MATCH($D36,02_Milestone_Catalogue!$A$6:$A$36,0)),1)</f>
        <v>1</v>
      </c>
      <c r="K36" s="15" t="n">
        <f aca="false">IF($I36="C",1,IF($I36="IP",0.5,IF($I36="D",0.25,IF($I36="NA","",0))))</f>
        <v>0</v>
      </c>
      <c r="L36" s="11"/>
      <c r="M36" s="13" t="s">
        <v>84</v>
      </c>
      <c r="N36" s="11"/>
      <c r="O36" s="11" t="s">
        <v>291</v>
      </c>
      <c r="P36" s="12"/>
      <c r="Q36" s="11"/>
    </row>
    <row r="37" customFormat="false" ht="23.85" hidden="false" customHeight="false" outlineLevel="0" collapsed="false">
      <c r="A37" s="10" t="str">
        <f aca="false">B37&amp;"|"&amp;D37</f>
        <v>MWI|M01</v>
      </c>
      <c r="B37" s="10" t="s">
        <v>85</v>
      </c>
      <c r="C37" s="10" t="s">
        <v>86</v>
      </c>
      <c r="D37" s="10" t="s">
        <v>114</v>
      </c>
      <c r="E37" s="10" t="s">
        <v>103</v>
      </c>
      <c r="F37" s="10" t="s">
        <v>115</v>
      </c>
      <c r="G37" s="12"/>
      <c r="H37" s="12"/>
      <c r="I37" s="13" t="s">
        <v>288</v>
      </c>
      <c r="J37" s="14" t="n">
        <f aca="false">IFERROR(INDEX(02_Milestone_Catalogue!$H$6:$H$36,MATCH($D37,02_Milestone_Catalogue!$A$6:$A$36,0)),1)</f>
        <v>1</v>
      </c>
      <c r="K37" s="15" t="n">
        <f aca="false">IF($I37="C",1,IF($I37="IP",0.5,IF($I37="D",0.25,IF($I37="NA","",0))))</f>
        <v>0</v>
      </c>
      <c r="L37" s="11"/>
      <c r="M37" s="13" t="s">
        <v>84</v>
      </c>
      <c r="N37" s="11"/>
      <c r="O37" s="11" t="s">
        <v>289</v>
      </c>
      <c r="P37" s="12"/>
      <c r="Q37" s="11"/>
    </row>
    <row r="38" customFormat="false" ht="23.85" hidden="false" customHeight="false" outlineLevel="0" collapsed="false">
      <c r="A38" s="10" t="str">
        <f aca="false">B38&amp;"|"&amp;D38</f>
        <v>MWI|M02</v>
      </c>
      <c r="B38" s="10" t="s">
        <v>85</v>
      </c>
      <c r="C38" s="10" t="s">
        <v>86</v>
      </c>
      <c r="D38" s="10" t="s">
        <v>120</v>
      </c>
      <c r="E38" s="10" t="s">
        <v>103</v>
      </c>
      <c r="F38" s="10" t="s">
        <v>121</v>
      </c>
      <c r="G38" s="12"/>
      <c r="H38" s="12"/>
      <c r="I38" s="13" t="s">
        <v>290</v>
      </c>
      <c r="J38" s="14" t="n">
        <f aca="false">IFERROR(INDEX(02_Milestone_Catalogue!$H$6:$H$36,MATCH($D38,02_Milestone_Catalogue!$A$6:$A$36,0)),1)</f>
        <v>1</v>
      </c>
      <c r="K38" s="15" t="n">
        <f aca="false">IF($I38="C",1,IF($I38="IP",0.5,IF($I38="D",0.25,IF($I38="NA","",0))))</f>
        <v>1</v>
      </c>
      <c r="L38" s="11"/>
      <c r="M38" s="13" t="s">
        <v>84</v>
      </c>
      <c r="N38" s="11"/>
      <c r="O38" s="11" t="s">
        <v>291</v>
      </c>
      <c r="P38" s="12"/>
      <c r="Q38" s="11"/>
    </row>
    <row r="39" customFormat="false" ht="23.85" hidden="false" customHeight="false" outlineLevel="0" collapsed="false">
      <c r="A39" s="10" t="str">
        <f aca="false">B39&amp;"|"&amp;D39</f>
        <v>MWI|M03</v>
      </c>
      <c r="B39" s="10" t="s">
        <v>85</v>
      </c>
      <c r="C39" s="10" t="s">
        <v>86</v>
      </c>
      <c r="D39" s="10" t="s">
        <v>125</v>
      </c>
      <c r="E39" s="10" t="s">
        <v>103</v>
      </c>
      <c r="F39" s="10" t="s">
        <v>126</v>
      </c>
      <c r="G39" s="12"/>
      <c r="H39" s="12"/>
      <c r="I39" s="13" t="s">
        <v>290</v>
      </c>
      <c r="J39" s="14" t="n">
        <f aca="false">IFERROR(INDEX(02_Milestone_Catalogue!$H$6:$H$36,MATCH($D39,02_Milestone_Catalogue!$A$6:$A$36,0)),1)</f>
        <v>1</v>
      </c>
      <c r="K39" s="15" t="n">
        <f aca="false">IF($I39="C",1,IF($I39="IP",0.5,IF($I39="D",0.25,IF($I39="NA","",0))))</f>
        <v>1</v>
      </c>
      <c r="L39" s="11"/>
      <c r="M39" s="13" t="s">
        <v>84</v>
      </c>
      <c r="N39" s="11"/>
      <c r="O39" s="11" t="s">
        <v>291</v>
      </c>
      <c r="P39" s="12"/>
      <c r="Q39" s="11"/>
    </row>
    <row r="40" customFormat="false" ht="23.85" hidden="false" customHeight="false" outlineLevel="0" collapsed="false">
      <c r="A40" s="10" t="str">
        <f aca="false">B40&amp;"|"&amp;D40</f>
        <v>MWI|M04</v>
      </c>
      <c r="B40" s="10" t="s">
        <v>85</v>
      </c>
      <c r="C40" s="10" t="s">
        <v>86</v>
      </c>
      <c r="D40" s="10" t="s">
        <v>131</v>
      </c>
      <c r="E40" s="10" t="s">
        <v>103</v>
      </c>
      <c r="F40" s="10" t="s">
        <v>132</v>
      </c>
      <c r="G40" s="12"/>
      <c r="H40" s="12"/>
      <c r="I40" s="13" t="s">
        <v>288</v>
      </c>
      <c r="J40" s="14" t="n">
        <f aca="false">IFERROR(INDEX(02_Milestone_Catalogue!$H$6:$H$36,MATCH($D40,02_Milestone_Catalogue!$A$6:$A$36,0)),1)</f>
        <v>1</v>
      </c>
      <c r="K40" s="15" t="n">
        <f aca="false">IF($I40="C",1,IF($I40="IP",0.5,IF($I40="D",0.25,IF($I40="NA","",0))))</f>
        <v>0</v>
      </c>
      <c r="L40" s="11"/>
      <c r="M40" s="13" t="s">
        <v>84</v>
      </c>
      <c r="N40" s="11"/>
      <c r="O40" s="11" t="s">
        <v>289</v>
      </c>
      <c r="P40" s="12"/>
      <c r="Q40" s="11"/>
    </row>
    <row r="41" customFormat="false" ht="23.85" hidden="false" customHeight="false" outlineLevel="0" collapsed="false">
      <c r="A41" s="10" t="str">
        <f aca="false">B41&amp;"|"&amp;D41</f>
        <v>MWI|M05</v>
      </c>
      <c r="B41" s="10" t="s">
        <v>85</v>
      </c>
      <c r="C41" s="10" t="s">
        <v>86</v>
      </c>
      <c r="D41" s="10" t="s">
        <v>135</v>
      </c>
      <c r="E41" s="10" t="s">
        <v>103</v>
      </c>
      <c r="F41" s="10" t="s">
        <v>136</v>
      </c>
      <c r="G41" s="12"/>
      <c r="H41" s="12"/>
      <c r="I41" s="13" t="s">
        <v>288</v>
      </c>
      <c r="J41" s="14" t="n">
        <f aca="false">IFERROR(INDEX(02_Milestone_Catalogue!$H$6:$H$36,MATCH($D41,02_Milestone_Catalogue!$A$6:$A$36,0)),1)</f>
        <v>1</v>
      </c>
      <c r="K41" s="15" t="n">
        <f aca="false">IF($I41="C",1,IF($I41="IP",0.5,IF($I41="D",0.25,IF($I41="NA","",0))))</f>
        <v>0</v>
      </c>
      <c r="L41" s="11"/>
      <c r="M41" s="13" t="s">
        <v>84</v>
      </c>
      <c r="N41" s="11"/>
      <c r="O41" s="11" t="s">
        <v>289</v>
      </c>
      <c r="P41" s="12"/>
      <c r="Q41" s="11"/>
    </row>
    <row r="42" customFormat="false" ht="23.85" hidden="false" customHeight="false" outlineLevel="0" collapsed="false">
      <c r="A42" s="10" t="str">
        <f aca="false">B42&amp;"|"&amp;D42</f>
        <v>MWI|M06</v>
      </c>
      <c r="B42" s="10" t="s">
        <v>85</v>
      </c>
      <c r="C42" s="10" t="s">
        <v>86</v>
      </c>
      <c r="D42" s="10" t="s">
        <v>141</v>
      </c>
      <c r="E42" s="10" t="s">
        <v>103</v>
      </c>
      <c r="F42" s="10" t="s">
        <v>142</v>
      </c>
      <c r="G42" s="12"/>
      <c r="H42" s="12"/>
      <c r="I42" s="13" t="s">
        <v>288</v>
      </c>
      <c r="J42" s="14" t="n">
        <f aca="false">IFERROR(INDEX(02_Milestone_Catalogue!$H$6:$H$36,MATCH($D42,02_Milestone_Catalogue!$A$6:$A$36,0)),1)</f>
        <v>1</v>
      </c>
      <c r="K42" s="15" t="n">
        <f aca="false">IF($I42="C",1,IF($I42="IP",0.5,IF($I42="D",0.25,IF($I42="NA","",0))))</f>
        <v>0</v>
      </c>
      <c r="L42" s="11"/>
      <c r="M42" s="13" t="s">
        <v>84</v>
      </c>
      <c r="N42" s="11"/>
      <c r="O42" s="11" t="s">
        <v>289</v>
      </c>
      <c r="P42" s="12"/>
      <c r="Q42" s="11"/>
    </row>
    <row r="43" customFormat="false" ht="23.85" hidden="false" customHeight="false" outlineLevel="0" collapsed="false">
      <c r="A43" s="10" t="str">
        <f aca="false">B43&amp;"|"&amp;D43</f>
        <v>MWI|M07</v>
      </c>
      <c r="B43" s="10" t="s">
        <v>85</v>
      </c>
      <c r="C43" s="10" t="s">
        <v>86</v>
      </c>
      <c r="D43" s="10" t="s">
        <v>146</v>
      </c>
      <c r="E43" s="10" t="s">
        <v>88</v>
      </c>
      <c r="F43" s="10" t="s">
        <v>147</v>
      </c>
      <c r="G43" s="12"/>
      <c r="H43" s="12"/>
      <c r="I43" s="13" t="s">
        <v>290</v>
      </c>
      <c r="J43" s="14" t="n">
        <f aca="false">IFERROR(INDEX(02_Milestone_Catalogue!$H$6:$H$36,MATCH($D43,02_Milestone_Catalogue!$A$6:$A$36,0)),1)</f>
        <v>1</v>
      </c>
      <c r="K43" s="15" t="n">
        <f aca="false">IF($I43="C",1,IF($I43="IP",0.5,IF($I43="D",0.25,IF($I43="NA","",0))))</f>
        <v>1</v>
      </c>
      <c r="L43" s="11"/>
      <c r="M43" s="13" t="s">
        <v>84</v>
      </c>
      <c r="N43" s="11"/>
      <c r="O43" s="11" t="s">
        <v>291</v>
      </c>
      <c r="P43" s="12"/>
      <c r="Q43" s="11"/>
    </row>
    <row r="44" customFormat="false" ht="23.85" hidden="false" customHeight="false" outlineLevel="0" collapsed="false">
      <c r="A44" s="10" t="str">
        <f aca="false">B44&amp;"|"&amp;D44</f>
        <v>MWI|M08</v>
      </c>
      <c r="B44" s="10" t="s">
        <v>85</v>
      </c>
      <c r="C44" s="10" t="s">
        <v>86</v>
      </c>
      <c r="D44" s="10" t="s">
        <v>152</v>
      </c>
      <c r="E44" s="10" t="s">
        <v>88</v>
      </c>
      <c r="F44" s="10" t="s">
        <v>153</v>
      </c>
      <c r="G44" s="12"/>
      <c r="H44" s="12"/>
      <c r="I44" s="13" t="s">
        <v>292</v>
      </c>
      <c r="J44" s="14" t="n">
        <f aca="false">IFERROR(INDEX(02_Milestone_Catalogue!$H$6:$H$36,MATCH($D44,02_Milestone_Catalogue!$A$6:$A$36,0)),1)</f>
        <v>1</v>
      </c>
      <c r="K44" s="15" t="n">
        <f aca="false">IF($I44="C",1,IF($I44="IP",0.5,IF($I44="D",0.25,IF($I44="NA","",0))))</f>
        <v>0.5</v>
      </c>
      <c r="L44" s="11"/>
      <c r="M44" s="13" t="s">
        <v>84</v>
      </c>
      <c r="N44" s="11"/>
      <c r="O44" s="11" t="s">
        <v>291</v>
      </c>
      <c r="P44" s="12"/>
      <c r="Q44" s="11"/>
    </row>
    <row r="45" customFormat="false" ht="23.85" hidden="false" customHeight="false" outlineLevel="0" collapsed="false">
      <c r="A45" s="10" t="str">
        <f aca="false">B45&amp;"|"&amp;D45</f>
        <v>MWI|M09</v>
      </c>
      <c r="B45" s="10" t="s">
        <v>85</v>
      </c>
      <c r="C45" s="10" t="s">
        <v>86</v>
      </c>
      <c r="D45" s="10" t="s">
        <v>158</v>
      </c>
      <c r="E45" s="10" t="s">
        <v>88</v>
      </c>
      <c r="F45" s="10" t="s">
        <v>159</v>
      </c>
      <c r="G45" s="12"/>
      <c r="H45" s="12"/>
      <c r="I45" s="13" t="s">
        <v>288</v>
      </c>
      <c r="J45" s="14" t="n">
        <f aca="false">IFERROR(INDEX(02_Milestone_Catalogue!$H$6:$H$36,MATCH($D45,02_Milestone_Catalogue!$A$6:$A$36,0)),1)</f>
        <v>1</v>
      </c>
      <c r="K45" s="15" t="n">
        <f aca="false">IF($I45="C",1,IF($I45="IP",0.5,IF($I45="D",0.25,IF($I45="NA","",0))))</f>
        <v>0</v>
      </c>
      <c r="L45" s="11"/>
      <c r="M45" s="13" t="s">
        <v>84</v>
      </c>
      <c r="N45" s="11"/>
      <c r="O45" s="11" t="s">
        <v>289</v>
      </c>
      <c r="P45" s="12"/>
      <c r="Q45" s="11"/>
    </row>
    <row r="46" customFormat="false" ht="23.85" hidden="false" customHeight="false" outlineLevel="0" collapsed="false">
      <c r="A46" s="10" t="str">
        <f aca="false">B46&amp;"|"&amp;D46</f>
        <v>MWI|M10</v>
      </c>
      <c r="B46" s="10" t="s">
        <v>85</v>
      </c>
      <c r="C46" s="10" t="s">
        <v>86</v>
      </c>
      <c r="D46" s="10" t="s">
        <v>163</v>
      </c>
      <c r="E46" s="10" t="s">
        <v>88</v>
      </c>
      <c r="F46" s="10" t="s">
        <v>164</v>
      </c>
      <c r="G46" s="12"/>
      <c r="H46" s="12"/>
      <c r="I46" s="13" t="s">
        <v>288</v>
      </c>
      <c r="J46" s="14" t="n">
        <f aca="false">IFERROR(INDEX(02_Milestone_Catalogue!$H$6:$H$36,MATCH($D46,02_Milestone_Catalogue!$A$6:$A$36,0)),1)</f>
        <v>1</v>
      </c>
      <c r="K46" s="15" t="n">
        <f aca="false">IF($I46="C",1,IF($I46="IP",0.5,IF($I46="D",0.25,IF($I46="NA","",0))))</f>
        <v>0</v>
      </c>
      <c r="L46" s="11"/>
      <c r="M46" s="13" t="s">
        <v>84</v>
      </c>
      <c r="N46" s="11"/>
      <c r="O46" s="11" t="s">
        <v>289</v>
      </c>
      <c r="P46" s="12"/>
      <c r="Q46" s="11"/>
    </row>
    <row r="47" customFormat="false" ht="23.85" hidden="false" customHeight="false" outlineLevel="0" collapsed="false">
      <c r="A47" s="10" t="str">
        <f aca="false">B47&amp;"|"&amp;D47</f>
        <v>MWI|M11</v>
      </c>
      <c r="B47" s="10" t="s">
        <v>85</v>
      </c>
      <c r="C47" s="10" t="s">
        <v>86</v>
      </c>
      <c r="D47" s="10" t="s">
        <v>168</v>
      </c>
      <c r="E47" s="10" t="s">
        <v>88</v>
      </c>
      <c r="F47" s="10" t="s">
        <v>169</v>
      </c>
      <c r="G47" s="12"/>
      <c r="H47" s="12"/>
      <c r="I47" s="13" t="s">
        <v>288</v>
      </c>
      <c r="J47" s="14" t="n">
        <f aca="false">IFERROR(INDEX(02_Milestone_Catalogue!$H$6:$H$36,MATCH($D47,02_Milestone_Catalogue!$A$6:$A$36,0)),1)</f>
        <v>1</v>
      </c>
      <c r="K47" s="15" t="n">
        <f aca="false">IF($I47="C",1,IF($I47="IP",0.5,IF($I47="D",0.25,IF($I47="NA","",0))))</f>
        <v>0</v>
      </c>
      <c r="L47" s="11"/>
      <c r="M47" s="13" t="s">
        <v>84</v>
      </c>
      <c r="N47" s="11"/>
      <c r="O47" s="11" t="s">
        <v>289</v>
      </c>
      <c r="P47" s="12"/>
      <c r="Q47" s="11"/>
    </row>
    <row r="48" customFormat="false" ht="23.85" hidden="false" customHeight="false" outlineLevel="0" collapsed="false">
      <c r="A48" s="10" t="str">
        <f aca="false">B48&amp;"|"&amp;D48</f>
        <v>MWI|M12</v>
      </c>
      <c r="B48" s="10" t="s">
        <v>85</v>
      </c>
      <c r="C48" s="10" t="s">
        <v>86</v>
      </c>
      <c r="D48" s="10" t="s">
        <v>173</v>
      </c>
      <c r="E48" s="10" t="s">
        <v>88</v>
      </c>
      <c r="F48" s="10" t="s">
        <v>174</v>
      </c>
      <c r="G48" s="12"/>
      <c r="H48" s="12"/>
      <c r="I48" s="13" t="s">
        <v>288</v>
      </c>
      <c r="J48" s="14" t="n">
        <f aca="false">IFERROR(INDEX(02_Milestone_Catalogue!$H$6:$H$36,MATCH($D48,02_Milestone_Catalogue!$A$6:$A$36,0)),1)</f>
        <v>1</v>
      </c>
      <c r="K48" s="15" t="n">
        <f aca="false">IF($I48="C",1,IF($I48="IP",0.5,IF($I48="D",0.25,IF($I48="NA","",0))))</f>
        <v>0</v>
      </c>
      <c r="L48" s="11"/>
      <c r="M48" s="13" t="s">
        <v>84</v>
      </c>
      <c r="N48" s="11"/>
      <c r="O48" s="11" t="s">
        <v>289</v>
      </c>
      <c r="P48" s="12"/>
      <c r="Q48" s="11"/>
    </row>
    <row r="49" customFormat="false" ht="23.85" hidden="false" customHeight="false" outlineLevel="0" collapsed="false">
      <c r="A49" s="10" t="str">
        <f aca="false">B49&amp;"|"&amp;D49</f>
        <v>MWI|M13</v>
      </c>
      <c r="B49" s="10" t="s">
        <v>85</v>
      </c>
      <c r="C49" s="10" t="s">
        <v>86</v>
      </c>
      <c r="D49" s="10" t="s">
        <v>178</v>
      </c>
      <c r="E49" s="10" t="s">
        <v>88</v>
      </c>
      <c r="F49" s="10" t="s">
        <v>179</v>
      </c>
      <c r="G49" s="12"/>
      <c r="H49" s="12"/>
      <c r="I49" s="13" t="s">
        <v>292</v>
      </c>
      <c r="J49" s="14" t="n">
        <f aca="false">IFERROR(INDEX(02_Milestone_Catalogue!$H$6:$H$36,MATCH($D49,02_Milestone_Catalogue!$A$6:$A$36,0)),1)</f>
        <v>1</v>
      </c>
      <c r="K49" s="15" t="n">
        <f aca="false">IF($I49="C",1,IF($I49="IP",0.5,IF($I49="D",0.25,IF($I49="NA","",0))))</f>
        <v>0.5</v>
      </c>
      <c r="L49" s="11"/>
      <c r="M49" s="13" t="s">
        <v>84</v>
      </c>
      <c r="N49" s="11"/>
      <c r="O49" s="11" t="s">
        <v>291</v>
      </c>
      <c r="P49" s="12"/>
      <c r="Q49" s="11"/>
    </row>
    <row r="50" customFormat="false" ht="15" hidden="false" customHeight="false" outlineLevel="0" collapsed="false">
      <c r="A50" s="10" t="str">
        <f aca="false">B50&amp;"|"&amp;D50</f>
        <v>MWI|M14</v>
      </c>
      <c r="B50" s="10" t="s">
        <v>85</v>
      </c>
      <c r="C50" s="10" t="s">
        <v>86</v>
      </c>
      <c r="D50" s="10" t="s">
        <v>183</v>
      </c>
      <c r="E50" s="10" t="s">
        <v>88</v>
      </c>
      <c r="F50" s="10" t="s">
        <v>184</v>
      </c>
      <c r="G50" s="12"/>
      <c r="H50" s="12"/>
      <c r="I50" s="13" t="s">
        <v>288</v>
      </c>
      <c r="J50" s="14" t="n">
        <f aca="false">IFERROR(INDEX(02_Milestone_Catalogue!$H$6:$H$36,MATCH($D50,02_Milestone_Catalogue!$A$6:$A$36,0)),1)</f>
        <v>1</v>
      </c>
      <c r="K50" s="15" t="n">
        <f aca="false">IF($I50="C",1,IF($I50="IP",0.5,IF($I50="D",0.25,IF($I50="NA","",0))))</f>
        <v>0</v>
      </c>
      <c r="L50" s="11"/>
      <c r="M50" s="13" t="s">
        <v>84</v>
      </c>
      <c r="N50" s="11"/>
      <c r="O50" s="11" t="s">
        <v>291</v>
      </c>
      <c r="P50" s="12"/>
      <c r="Q50" s="11"/>
    </row>
    <row r="51" customFormat="false" ht="15" hidden="false" customHeight="false" outlineLevel="0" collapsed="false">
      <c r="A51" s="10" t="str">
        <f aca="false">B51&amp;"|"&amp;D51</f>
        <v>MWI|M15</v>
      </c>
      <c r="B51" s="10" t="s">
        <v>85</v>
      </c>
      <c r="C51" s="10" t="s">
        <v>86</v>
      </c>
      <c r="D51" s="10" t="s">
        <v>188</v>
      </c>
      <c r="E51" s="10" t="s">
        <v>88</v>
      </c>
      <c r="F51" s="10" t="s">
        <v>189</v>
      </c>
      <c r="G51" s="12"/>
      <c r="H51" s="12"/>
      <c r="I51" s="13" t="s">
        <v>288</v>
      </c>
      <c r="J51" s="14" t="n">
        <f aca="false">IFERROR(INDEX(02_Milestone_Catalogue!$H$6:$H$36,MATCH($D51,02_Milestone_Catalogue!$A$6:$A$36,0)),1)</f>
        <v>1</v>
      </c>
      <c r="K51" s="15" t="n">
        <f aca="false">IF($I51="C",1,IF($I51="IP",0.5,IF($I51="D",0.25,IF($I51="NA","",0))))</f>
        <v>0</v>
      </c>
      <c r="L51" s="11"/>
      <c r="M51" s="13" t="s">
        <v>84</v>
      </c>
      <c r="N51" s="11"/>
      <c r="O51" s="11" t="s">
        <v>291</v>
      </c>
      <c r="P51" s="12"/>
      <c r="Q51" s="11"/>
    </row>
    <row r="52" customFormat="false" ht="15" hidden="false" customHeight="false" outlineLevel="0" collapsed="false">
      <c r="A52" s="10" t="str">
        <f aca="false">B52&amp;"|"&amp;D52</f>
        <v>MWI|M16</v>
      </c>
      <c r="B52" s="10" t="s">
        <v>85</v>
      </c>
      <c r="C52" s="10" t="s">
        <v>86</v>
      </c>
      <c r="D52" s="10" t="s">
        <v>193</v>
      </c>
      <c r="E52" s="10" t="s">
        <v>83</v>
      </c>
      <c r="F52" s="10" t="s">
        <v>194</v>
      </c>
      <c r="G52" s="12"/>
      <c r="H52" s="12"/>
      <c r="I52" s="13" t="s">
        <v>288</v>
      </c>
      <c r="J52" s="14" t="n">
        <f aca="false">IFERROR(INDEX(02_Milestone_Catalogue!$H$6:$H$36,MATCH($D52,02_Milestone_Catalogue!$A$6:$A$36,0)),1)</f>
        <v>1</v>
      </c>
      <c r="K52" s="15" t="n">
        <f aca="false">IF($I52="C",1,IF($I52="IP",0.5,IF($I52="D",0.25,IF($I52="NA","",0))))</f>
        <v>0</v>
      </c>
      <c r="L52" s="11"/>
      <c r="M52" s="13" t="s">
        <v>84</v>
      </c>
      <c r="N52" s="11"/>
      <c r="O52" s="11" t="s">
        <v>291</v>
      </c>
      <c r="P52" s="12"/>
      <c r="Q52" s="11"/>
    </row>
    <row r="53" customFormat="false" ht="23.85" hidden="false" customHeight="false" outlineLevel="0" collapsed="false">
      <c r="A53" s="10" t="str">
        <f aca="false">B53&amp;"|"&amp;D53</f>
        <v>MWI|M17</v>
      </c>
      <c r="B53" s="10" t="s">
        <v>85</v>
      </c>
      <c r="C53" s="10" t="s">
        <v>86</v>
      </c>
      <c r="D53" s="10" t="s">
        <v>199</v>
      </c>
      <c r="E53" s="10" t="s">
        <v>83</v>
      </c>
      <c r="F53" s="10" t="s">
        <v>200</v>
      </c>
      <c r="G53" s="12"/>
      <c r="H53" s="12"/>
      <c r="I53" s="13" t="s">
        <v>288</v>
      </c>
      <c r="J53" s="14" t="n">
        <f aca="false">IFERROR(INDEX(02_Milestone_Catalogue!$H$6:$H$36,MATCH($D53,02_Milestone_Catalogue!$A$6:$A$36,0)),1)</f>
        <v>1</v>
      </c>
      <c r="K53" s="15" t="n">
        <f aca="false">IF($I53="C",1,IF($I53="IP",0.5,IF($I53="D",0.25,IF($I53="NA","",0))))</f>
        <v>0</v>
      </c>
      <c r="L53" s="11"/>
      <c r="M53" s="13" t="s">
        <v>84</v>
      </c>
      <c r="N53" s="11"/>
      <c r="O53" s="11" t="s">
        <v>289</v>
      </c>
      <c r="P53" s="12"/>
      <c r="Q53" s="11"/>
    </row>
    <row r="54" customFormat="false" ht="23.85" hidden="false" customHeight="false" outlineLevel="0" collapsed="false">
      <c r="A54" s="10" t="str">
        <f aca="false">B54&amp;"|"&amp;D54</f>
        <v>MWI|M18</v>
      </c>
      <c r="B54" s="10" t="s">
        <v>85</v>
      </c>
      <c r="C54" s="10" t="s">
        <v>86</v>
      </c>
      <c r="D54" s="10" t="s">
        <v>204</v>
      </c>
      <c r="E54" s="10" t="s">
        <v>83</v>
      </c>
      <c r="F54" s="10" t="s">
        <v>205</v>
      </c>
      <c r="G54" s="12"/>
      <c r="H54" s="12"/>
      <c r="I54" s="13" t="s">
        <v>288</v>
      </c>
      <c r="J54" s="14" t="n">
        <f aca="false">IFERROR(INDEX(02_Milestone_Catalogue!$H$6:$H$36,MATCH($D54,02_Milestone_Catalogue!$A$6:$A$36,0)),1)</f>
        <v>1</v>
      </c>
      <c r="K54" s="15" t="n">
        <f aca="false">IF($I54="C",1,IF($I54="IP",0.5,IF($I54="D",0.25,IF($I54="NA","",0))))</f>
        <v>0</v>
      </c>
      <c r="L54" s="11"/>
      <c r="M54" s="13" t="s">
        <v>84</v>
      </c>
      <c r="N54" s="11"/>
      <c r="O54" s="11" t="s">
        <v>291</v>
      </c>
      <c r="P54" s="12"/>
      <c r="Q54" s="11"/>
    </row>
    <row r="55" customFormat="false" ht="23.85" hidden="false" customHeight="false" outlineLevel="0" collapsed="false">
      <c r="A55" s="10" t="str">
        <f aca="false">B55&amp;"|"&amp;D55</f>
        <v>MWI|M19</v>
      </c>
      <c r="B55" s="10" t="s">
        <v>85</v>
      </c>
      <c r="C55" s="10" t="s">
        <v>86</v>
      </c>
      <c r="D55" s="10" t="s">
        <v>208</v>
      </c>
      <c r="E55" s="10" t="s">
        <v>83</v>
      </c>
      <c r="F55" s="10" t="s">
        <v>209</v>
      </c>
      <c r="G55" s="12"/>
      <c r="H55" s="12"/>
      <c r="I55" s="13" t="s">
        <v>288</v>
      </c>
      <c r="J55" s="14" t="n">
        <f aca="false">IFERROR(INDEX(02_Milestone_Catalogue!$H$6:$H$36,MATCH($D55,02_Milestone_Catalogue!$A$6:$A$36,0)),1)</f>
        <v>1</v>
      </c>
      <c r="K55" s="15" t="n">
        <f aca="false">IF($I55="C",1,IF($I55="IP",0.5,IF($I55="D",0.25,IF($I55="NA","",0))))</f>
        <v>0</v>
      </c>
      <c r="L55" s="11"/>
      <c r="M55" s="13" t="s">
        <v>84</v>
      </c>
      <c r="N55" s="11"/>
      <c r="O55" s="11" t="s">
        <v>289</v>
      </c>
      <c r="P55" s="12"/>
      <c r="Q55" s="11"/>
    </row>
    <row r="56" customFormat="false" ht="23.85" hidden="false" customHeight="false" outlineLevel="0" collapsed="false">
      <c r="A56" s="10" t="str">
        <f aca="false">B56&amp;"|"&amp;D56</f>
        <v>MWI|M20</v>
      </c>
      <c r="B56" s="10" t="s">
        <v>85</v>
      </c>
      <c r="C56" s="10" t="s">
        <v>86</v>
      </c>
      <c r="D56" s="10" t="s">
        <v>213</v>
      </c>
      <c r="E56" s="10" t="s">
        <v>83</v>
      </c>
      <c r="F56" s="10" t="s">
        <v>214</v>
      </c>
      <c r="G56" s="12"/>
      <c r="H56" s="12"/>
      <c r="I56" s="13" t="s">
        <v>288</v>
      </c>
      <c r="J56" s="14" t="n">
        <f aca="false">IFERROR(INDEX(02_Milestone_Catalogue!$H$6:$H$36,MATCH($D56,02_Milestone_Catalogue!$A$6:$A$36,0)),1)</f>
        <v>1</v>
      </c>
      <c r="K56" s="15" t="n">
        <f aca="false">IF($I56="C",1,IF($I56="IP",0.5,IF($I56="D",0.25,IF($I56="NA","",0))))</f>
        <v>0</v>
      </c>
      <c r="L56" s="11"/>
      <c r="M56" s="13" t="s">
        <v>84</v>
      </c>
      <c r="N56" s="11"/>
      <c r="O56" s="11" t="s">
        <v>289</v>
      </c>
      <c r="P56" s="12"/>
      <c r="Q56" s="11"/>
    </row>
    <row r="57" customFormat="false" ht="23.85" hidden="false" customHeight="false" outlineLevel="0" collapsed="false">
      <c r="A57" s="10" t="str">
        <f aca="false">B57&amp;"|"&amp;D57</f>
        <v>MWI|M21</v>
      </c>
      <c r="B57" s="10" t="s">
        <v>85</v>
      </c>
      <c r="C57" s="10" t="s">
        <v>86</v>
      </c>
      <c r="D57" s="10" t="s">
        <v>218</v>
      </c>
      <c r="E57" s="10" t="s">
        <v>92</v>
      </c>
      <c r="F57" s="10" t="s">
        <v>219</v>
      </c>
      <c r="G57" s="12"/>
      <c r="H57" s="12"/>
      <c r="I57" s="13" t="s">
        <v>288</v>
      </c>
      <c r="J57" s="14" t="n">
        <f aca="false">IFERROR(INDEX(02_Milestone_Catalogue!$H$6:$H$36,MATCH($D57,02_Milestone_Catalogue!$A$6:$A$36,0)),1)</f>
        <v>1</v>
      </c>
      <c r="K57" s="15" t="n">
        <f aca="false">IF($I57="C",1,IF($I57="IP",0.5,IF($I57="D",0.25,IF($I57="NA","",0))))</f>
        <v>0</v>
      </c>
      <c r="L57" s="11"/>
      <c r="M57" s="13" t="s">
        <v>84</v>
      </c>
      <c r="N57" s="11"/>
      <c r="O57" s="11" t="s">
        <v>291</v>
      </c>
      <c r="P57" s="12"/>
      <c r="Q57" s="11"/>
    </row>
    <row r="58" customFormat="false" ht="23.85" hidden="false" customHeight="false" outlineLevel="0" collapsed="false">
      <c r="A58" s="10" t="str">
        <f aca="false">B58&amp;"|"&amp;D58</f>
        <v>MWI|M22</v>
      </c>
      <c r="B58" s="10" t="s">
        <v>85</v>
      </c>
      <c r="C58" s="10" t="s">
        <v>86</v>
      </c>
      <c r="D58" s="10" t="s">
        <v>224</v>
      </c>
      <c r="E58" s="10" t="s">
        <v>92</v>
      </c>
      <c r="F58" s="10" t="s">
        <v>225</v>
      </c>
      <c r="G58" s="12"/>
      <c r="H58" s="12"/>
      <c r="I58" s="13" t="s">
        <v>288</v>
      </c>
      <c r="J58" s="14" t="n">
        <f aca="false">IFERROR(INDEX(02_Milestone_Catalogue!$H$6:$H$36,MATCH($D58,02_Milestone_Catalogue!$A$6:$A$36,0)),1)</f>
        <v>1</v>
      </c>
      <c r="K58" s="15" t="n">
        <f aca="false">IF($I58="C",1,IF($I58="IP",0.5,IF($I58="D",0.25,IF($I58="NA","",0))))</f>
        <v>0</v>
      </c>
      <c r="L58" s="11"/>
      <c r="M58" s="13" t="s">
        <v>84</v>
      </c>
      <c r="N58" s="11"/>
      <c r="O58" s="11" t="s">
        <v>291</v>
      </c>
      <c r="P58" s="12"/>
      <c r="Q58" s="11"/>
    </row>
    <row r="59" customFormat="false" ht="23.85" hidden="false" customHeight="false" outlineLevel="0" collapsed="false">
      <c r="A59" s="10" t="str">
        <f aca="false">B59&amp;"|"&amp;D59</f>
        <v>MWI|M23</v>
      </c>
      <c r="B59" s="10" t="s">
        <v>85</v>
      </c>
      <c r="C59" s="10" t="s">
        <v>86</v>
      </c>
      <c r="D59" s="10" t="s">
        <v>229</v>
      </c>
      <c r="E59" s="10" t="s">
        <v>92</v>
      </c>
      <c r="F59" s="10" t="s">
        <v>230</v>
      </c>
      <c r="G59" s="12"/>
      <c r="H59" s="12"/>
      <c r="I59" s="13" t="s">
        <v>288</v>
      </c>
      <c r="J59" s="14" t="n">
        <f aca="false">IFERROR(INDEX(02_Milestone_Catalogue!$H$6:$H$36,MATCH($D59,02_Milestone_Catalogue!$A$6:$A$36,0)),1)</f>
        <v>1</v>
      </c>
      <c r="K59" s="15" t="n">
        <f aca="false">IF($I59="C",1,IF($I59="IP",0.5,IF($I59="D",0.25,IF($I59="NA","",0))))</f>
        <v>0</v>
      </c>
      <c r="L59" s="11"/>
      <c r="M59" s="13" t="s">
        <v>84</v>
      </c>
      <c r="N59" s="11"/>
      <c r="O59" s="11" t="s">
        <v>291</v>
      </c>
      <c r="P59" s="12"/>
      <c r="Q59" s="11"/>
    </row>
    <row r="60" customFormat="false" ht="23.85" hidden="false" customHeight="false" outlineLevel="0" collapsed="false">
      <c r="A60" s="10" t="str">
        <f aca="false">B60&amp;"|"&amp;D60</f>
        <v>MWI|M24</v>
      </c>
      <c r="B60" s="10" t="s">
        <v>85</v>
      </c>
      <c r="C60" s="10" t="s">
        <v>86</v>
      </c>
      <c r="D60" s="10" t="s">
        <v>234</v>
      </c>
      <c r="E60" s="10" t="s">
        <v>92</v>
      </c>
      <c r="F60" s="10" t="s">
        <v>235</v>
      </c>
      <c r="G60" s="12"/>
      <c r="H60" s="12"/>
      <c r="I60" s="13" t="s">
        <v>288</v>
      </c>
      <c r="J60" s="14" t="n">
        <f aca="false">IFERROR(INDEX(02_Milestone_Catalogue!$H$6:$H$36,MATCH($D60,02_Milestone_Catalogue!$A$6:$A$36,0)),1)</f>
        <v>1</v>
      </c>
      <c r="K60" s="15" t="n">
        <f aca="false">IF($I60="C",1,IF($I60="IP",0.5,IF($I60="D",0.25,IF($I60="NA","",0))))</f>
        <v>0</v>
      </c>
      <c r="L60" s="11"/>
      <c r="M60" s="13" t="s">
        <v>84</v>
      </c>
      <c r="N60" s="11"/>
      <c r="O60" s="11" t="s">
        <v>291</v>
      </c>
      <c r="P60" s="12"/>
      <c r="Q60" s="11"/>
    </row>
    <row r="61" customFormat="false" ht="23.85" hidden="false" customHeight="false" outlineLevel="0" collapsed="false">
      <c r="A61" s="10" t="str">
        <f aca="false">B61&amp;"|"&amp;D61</f>
        <v>MWI|M25</v>
      </c>
      <c r="B61" s="10" t="s">
        <v>85</v>
      </c>
      <c r="C61" s="10" t="s">
        <v>86</v>
      </c>
      <c r="D61" s="10" t="s">
        <v>239</v>
      </c>
      <c r="E61" s="10" t="s">
        <v>240</v>
      </c>
      <c r="F61" s="10" t="s">
        <v>241</v>
      </c>
      <c r="G61" s="12"/>
      <c r="H61" s="12"/>
      <c r="I61" s="13" t="s">
        <v>288</v>
      </c>
      <c r="J61" s="14" t="n">
        <f aca="false">IFERROR(INDEX(02_Milestone_Catalogue!$H$6:$H$36,MATCH($D61,02_Milestone_Catalogue!$A$6:$A$36,0)),1)</f>
        <v>1</v>
      </c>
      <c r="K61" s="15" t="n">
        <f aca="false">IF($I61="C",1,IF($I61="IP",0.5,IF($I61="D",0.25,IF($I61="NA","",0))))</f>
        <v>0</v>
      </c>
      <c r="L61" s="11"/>
      <c r="M61" s="13" t="s">
        <v>84</v>
      </c>
      <c r="N61" s="11"/>
      <c r="O61" s="11" t="s">
        <v>291</v>
      </c>
      <c r="P61" s="12"/>
      <c r="Q61" s="11"/>
    </row>
    <row r="62" customFormat="false" ht="23.85" hidden="false" customHeight="false" outlineLevel="0" collapsed="false">
      <c r="A62" s="10" t="str">
        <f aca="false">B62&amp;"|"&amp;D62</f>
        <v>MWI|M26</v>
      </c>
      <c r="B62" s="10" t="s">
        <v>85</v>
      </c>
      <c r="C62" s="10" t="s">
        <v>86</v>
      </c>
      <c r="D62" s="10" t="s">
        <v>245</v>
      </c>
      <c r="E62" s="10" t="s">
        <v>240</v>
      </c>
      <c r="F62" s="10" t="s">
        <v>246</v>
      </c>
      <c r="G62" s="12"/>
      <c r="H62" s="12"/>
      <c r="I62" s="13" t="s">
        <v>288</v>
      </c>
      <c r="J62" s="14" t="n">
        <f aca="false">IFERROR(INDEX(02_Milestone_Catalogue!$H$6:$H$36,MATCH($D62,02_Milestone_Catalogue!$A$6:$A$36,0)),1)</f>
        <v>1</v>
      </c>
      <c r="K62" s="15" t="n">
        <f aca="false">IF($I62="C",1,IF($I62="IP",0.5,IF($I62="D",0.25,IF($I62="NA","",0))))</f>
        <v>0</v>
      </c>
      <c r="L62" s="11"/>
      <c r="M62" s="13" t="s">
        <v>84</v>
      </c>
      <c r="N62" s="11"/>
      <c r="O62" s="11" t="s">
        <v>291</v>
      </c>
      <c r="P62" s="12"/>
      <c r="Q62" s="11"/>
    </row>
    <row r="63" customFormat="false" ht="23.85" hidden="false" customHeight="false" outlineLevel="0" collapsed="false">
      <c r="A63" s="10" t="str">
        <f aca="false">B63&amp;"|"&amp;D63</f>
        <v>MWI|M27</v>
      </c>
      <c r="B63" s="10" t="s">
        <v>85</v>
      </c>
      <c r="C63" s="10" t="s">
        <v>86</v>
      </c>
      <c r="D63" s="10" t="s">
        <v>249</v>
      </c>
      <c r="E63" s="10" t="s">
        <v>240</v>
      </c>
      <c r="F63" s="10" t="s">
        <v>250</v>
      </c>
      <c r="G63" s="12"/>
      <c r="H63" s="12"/>
      <c r="I63" s="13" t="s">
        <v>288</v>
      </c>
      <c r="J63" s="14" t="n">
        <f aca="false">IFERROR(INDEX(02_Milestone_Catalogue!$H$6:$H$36,MATCH($D63,02_Milestone_Catalogue!$A$6:$A$36,0)),1)</f>
        <v>1</v>
      </c>
      <c r="K63" s="15" t="n">
        <f aca="false">IF($I63="C",1,IF($I63="IP",0.5,IF($I63="D",0.25,IF($I63="NA","",0))))</f>
        <v>0</v>
      </c>
      <c r="L63" s="11"/>
      <c r="M63" s="13" t="s">
        <v>84</v>
      </c>
      <c r="N63" s="11"/>
      <c r="O63" s="11" t="s">
        <v>291</v>
      </c>
      <c r="P63" s="12"/>
      <c r="Q63" s="11"/>
    </row>
    <row r="64" customFormat="false" ht="23.85" hidden="false" customHeight="false" outlineLevel="0" collapsed="false">
      <c r="A64" s="10" t="str">
        <f aca="false">B64&amp;"|"&amp;D64</f>
        <v>MWI|M28</v>
      </c>
      <c r="B64" s="10" t="s">
        <v>85</v>
      </c>
      <c r="C64" s="10" t="s">
        <v>86</v>
      </c>
      <c r="D64" s="10" t="s">
        <v>254</v>
      </c>
      <c r="E64" s="10" t="s">
        <v>240</v>
      </c>
      <c r="F64" s="10" t="s">
        <v>255</v>
      </c>
      <c r="G64" s="12"/>
      <c r="H64" s="12"/>
      <c r="I64" s="13" t="s">
        <v>288</v>
      </c>
      <c r="J64" s="14" t="n">
        <f aca="false">IFERROR(INDEX(02_Milestone_Catalogue!$H$6:$H$36,MATCH($D64,02_Milestone_Catalogue!$A$6:$A$36,0)),1)</f>
        <v>1</v>
      </c>
      <c r="K64" s="15" t="n">
        <f aca="false">IF($I64="C",1,IF($I64="IP",0.5,IF($I64="D",0.25,IF($I64="NA","",0))))</f>
        <v>0</v>
      </c>
      <c r="L64" s="11"/>
      <c r="M64" s="13" t="s">
        <v>84</v>
      </c>
      <c r="N64" s="11"/>
      <c r="O64" s="11" t="s">
        <v>291</v>
      </c>
      <c r="P64" s="12"/>
      <c r="Q64" s="11"/>
    </row>
    <row r="65" customFormat="false" ht="23.85" hidden="false" customHeight="false" outlineLevel="0" collapsed="false">
      <c r="A65" s="10" t="str">
        <f aca="false">B65&amp;"|"&amp;D65</f>
        <v>MWI|M29</v>
      </c>
      <c r="B65" s="10" t="s">
        <v>85</v>
      </c>
      <c r="C65" s="10" t="s">
        <v>86</v>
      </c>
      <c r="D65" s="10" t="s">
        <v>258</v>
      </c>
      <c r="E65" s="10" t="s">
        <v>240</v>
      </c>
      <c r="F65" s="10" t="s">
        <v>259</v>
      </c>
      <c r="G65" s="12"/>
      <c r="H65" s="12"/>
      <c r="I65" s="13" t="s">
        <v>288</v>
      </c>
      <c r="J65" s="14" t="n">
        <f aca="false">IFERROR(INDEX(02_Milestone_Catalogue!$H$6:$H$36,MATCH($D65,02_Milestone_Catalogue!$A$6:$A$36,0)),1)</f>
        <v>1</v>
      </c>
      <c r="K65" s="15" t="n">
        <f aca="false">IF($I65="C",1,IF($I65="IP",0.5,IF($I65="D",0.25,IF($I65="NA","",0))))</f>
        <v>0</v>
      </c>
      <c r="L65" s="11"/>
      <c r="M65" s="13" t="s">
        <v>84</v>
      </c>
      <c r="N65" s="11"/>
      <c r="O65" s="11" t="s">
        <v>289</v>
      </c>
      <c r="P65" s="12"/>
      <c r="Q65" s="11"/>
    </row>
    <row r="66" customFormat="false" ht="23.85" hidden="false" customHeight="false" outlineLevel="0" collapsed="false">
      <c r="A66" s="10" t="str">
        <f aca="false">B66&amp;"|"&amp;D66</f>
        <v>MWI|M30</v>
      </c>
      <c r="B66" s="10" t="s">
        <v>85</v>
      </c>
      <c r="C66" s="10" t="s">
        <v>86</v>
      </c>
      <c r="D66" s="10" t="s">
        <v>264</v>
      </c>
      <c r="E66" s="10" t="s">
        <v>240</v>
      </c>
      <c r="F66" s="10" t="s">
        <v>265</v>
      </c>
      <c r="G66" s="12"/>
      <c r="H66" s="12"/>
      <c r="I66" s="13" t="s">
        <v>288</v>
      </c>
      <c r="J66" s="14" t="n">
        <f aca="false">IFERROR(INDEX(02_Milestone_Catalogue!$H$6:$H$36,MATCH($D66,02_Milestone_Catalogue!$A$6:$A$36,0)),1)</f>
        <v>1</v>
      </c>
      <c r="K66" s="15" t="n">
        <f aca="false">IF($I66="C",1,IF($I66="IP",0.5,IF($I66="D",0.25,IF($I66="NA","",0))))</f>
        <v>0</v>
      </c>
      <c r="L66" s="11"/>
      <c r="M66" s="13" t="s">
        <v>84</v>
      </c>
      <c r="N66" s="11"/>
      <c r="O66" s="11" t="s">
        <v>289</v>
      </c>
      <c r="P66" s="12"/>
      <c r="Q66" s="11"/>
    </row>
    <row r="67" customFormat="false" ht="23.85" hidden="false" customHeight="false" outlineLevel="0" collapsed="false">
      <c r="A67" s="10" t="str">
        <f aca="false">B67&amp;"|"&amp;D67</f>
        <v>MWI|M31</v>
      </c>
      <c r="B67" s="10" t="s">
        <v>85</v>
      </c>
      <c r="C67" s="10" t="s">
        <v>86</v>
      </c>
      <c r="D67" s="10" t="s">
        <v>269</v>
      </c>
      <c r="E67" s="10" t="s">
        <v>240</v>
      </c>
      <c r="F67" s="10" t="s">
        <v>270</v>
      </c>
      <c r="G67" s="12"/>
      <c r="H67" s="12"/>
      <c r="I67" s="13" t="s">
        <v>288</v>
      </c>
      <c r="J67" s="14" t="n">
        <f aca="false">IFERROR(INDEX(02_Milestone_Catalogue!$H$6:$H$36,MATCH($D67,02_Milestone_Catalogue!$A$6:$A$36,0)),1)</f>
        <v>1</v>
      </c>
      <c r="K67" s="15" t="n">
        <f aca="false">IF($I67="C",1,IF($I67="IP",0.5,IF($I67="D",0.25,IF($I67="NA","",0))))</f>
        <v>0</v>
      </c>
      <c r="L67" s="11"/>
      <c r="M67" s="13" t="s">
        <v>84</v>
      </c>
      <c r="N67" s="11"/>
      <c r="O67" s="11" t="s">
        <v>291</v>
      </c>
      <c r="P67" s="12"/>
      <c r="Q67" s="11"/>
    </row>
    <row r="68" customFormat="false" ht="23.85" hidden="false" customHeight="false" outlineLevel="0" collapsed="false">
      <c r="A68" s="10" t="str">
        <f aca="false">B68&amp;"|"&amp;D68</f>
        <v>CIV|M01</v>
      </c>
      <c r="B68" s="10" t="s">
        <v>89</v>
      </c>
      <c r="C68" s="10" t="s">
        <v>90</v>
      </c>
      <c r="D68" s="10" t="s">
        <v>114</v>
      </c>
      <c r="E68" s="10" t="s">
        <v>103</v>
      </c>
      <c r="F68" s="10" t="s">
        <v>115</v>
      </c>
      <c r="G68" s="12"/>
      <c r="H68" s="12"/>
      <c r="I68" s="13" t="s">
        <v>288</v>
      </c>
      <c r="J68" s="14" t="n">
        <f aca="false">IFERROR(INDEX(02_Milestone_Catalogue!$H$6:$H$36,MATCH($D68,02_Milestone_Catalogue!$A$6:$A$36,0)),1)</f>
        <v>1</v>
      </c>
      <c r="K68" s="15" t="n">
        <f aca="false">IF($I68="C",1,IF($I68="IP",0.5,IF($I68="D",0.25,IF($I68="NA","",0))))</f>
        <v>0</v>
      </c>
      <c r="L68" s="11"/>
      <c r="M68" s="13" t="s">
        <v>84</v>
      </c>
      <c r="N68" s="11"/>
      <c r="O68" s="11" t="s">
        <v>289</v>
      </c>
      <c r="P68" s="12"/>
      <c r="Q68" s="11"/>
    </row>
    <row r="69" customFormat="false" ht="23.85" hidden="false" customHeight="false" outlineLevel="0" collapsed="false">
      <c r="A69" s="10" t="str">
        <f aca="false">B69&amp;"|"&amp;D69</f>
        <v>CIV|M02</v>
      </c>
      <c r="B69" s="10" t="s">
        <v>89</v>
      </c>
      <c r="C69" s="10" t="s">
        <v>90</v>
      </c>
      <c r="D69" s="10" t="s">
        <v>120</v>
      </c>
      <c r="E69" s="10" t="s">
        <v>103</v>
      </c>
      <c r="F69" s="10" t="s">
        <v>121</v>
      </c>
      <c r="G69" s="12"/>
      <c r="H69" s="12"/>
      <c r="I69" s="13" t="s">
        <v>290</v>
      </c>
      <c r="J69" s="14" t="n">
        <f aca="false">IFERROR(INDEX(02_Milestone_Catalogue!$H$6:$H$36,MATCH($D69,02_Milestone_Catalogue!$A$6:$A$36,0)),1)</f>
        <v>1</v>
      </c>
      <c r="K69" s="15" t="n">
        <f aca="false">IF($I69="C",1,IF($I69="IP",0.5,IF($I69="D",0.25,IF($I69="NA","",0))))</f>
        <v>1</v>
      </c>
      <c r="L69" s="11"/>
      <c r="M69" s="13" t="s">
        <v>84</v>
      </c>
      <c r="N69" s="11"/>
      <c r="O69" s="11" t="s">
        <v>291</v>
      </c>
      <c r="P69" s="12"/>
      <c r="Q69" s="11"/>
    </row>
    <row r="70" customFormat="false" ht="23.85" hidden="false" customHeight="false" outlineLevel="0" collapsed="false">
      <c r="A70" s="10" t="str">
        <f aca="false">B70&amp;"|"&amp;D70</f>
        <v>CIV|M03</v>
      </c>
      <c r="B70" s="10" t="s">
        <v>89</v>
      </c>
      <c r="C70" s="10" t="s">
        <v>90</v>
      </c>
      <c r="D70" s="10" t="s">
        <v>125</v>
      </c>
      <c r="E70" s="10" t="s">
        <v>103</v>
      </c>
      <c r="F70" s="10" t="s">
        <v>126</v>
      </c>
      <c r="G70" s="12"/>
      <c r="H70" s="12"/>
      <c r="I70" s="13" t="s">
        <v>290</v>
      </c>
      <c r="J70" s="14" t="n">
        <f aca="false">IFERROR(INDEX(02_Milestone_Catalogue!$H$6:$H$36,MATCH($D70,02_Milestone_Catalogue!$A$6:$A$36,0)),1)</f>
        <v>1</v>
      </c>
      <c r="K70" s="15" t="n">
        <f aca="false">IF($I70="C",1,IF($I70="IP",0.5,IF($I70="D",0.25,IF($I70="NA","",0))))</f>
        <v>1</v>
      </c>
      <c r="L70" s="11"/>
      <c r="M70" s="13" t="s">
        <v>84</v>
      </c>
      <c r="N70" s="11"/>
      <c r="O70" s="11" t="s">
        <v>291</v>
      </c>
      <c r="P70" s="12"/>
      <c r="Q70" s="11"/>
    </row>
    <row r="71" customFormat="false" ht="23.85" hidden="false" customHeight="false" outlineLevel="0" collapsed="false">
      <c r="A71" s="10" t="str">
        <f aca="false">B71&amp;"|"&amp;D71</f>
        <v>CIV|M04</v>
      </c>
      <c r="B71" s="10" t="s">
        <v>89</v>
      </c>
      <c r="C71" s="10" t="s">
        <v>90</v>
      </c>
      <c r="D71" s="10" t="s">
        <v>131</v>
      </c>
      <c r="E71" s="10" t="s">
        <v>103</v>
      </c>
      <c r="F71" s="10" t="s">
        <v>132</v>
      </c>
      <c r="G71" s="12"/>
      <c r="H71" s="12"/>
      <c r="I71" s="13" t="s">
        <v>288</v>
      </c>
      <c r="J71" s="14" t="n">
        <f aca="false">IFERROR(INDEX(02_Milestone_Catalogue!$H$6:$H$36,MATCH($D71,02_Milestone_Catalogue!$A$6:$A$36,0)),1)</f>
        <v>1</v>
      </c>
      <c r="K71" s="15" t="n">
        <f aca="false">IF($I71="C",1,IF($I71="IP",0.5,IF($I71="D",0.25,IF($I71="NA","",0))))</f>
        <v>0</v>
      </c>
      <c r="L71" s="11"/>
      <c r="M71" s="13" t="s">
        <v>84</v>
      </c>
      <c r="N71" s="11"/>
      <c r="O71" s="11" t="s">
        <v>289</v>
      </c>
      <c r="P71" s="12"/>
      <c r="Q71" s="11"/>
    </row>
    <row r="72" customFormat="false" ht="23.85" hidden="false" customHeight="false" outlineLevel="0" collapsed="false">
      <c r="A72" s="10" t="str">
        <f aca="false">B72&amp;"|"&amp;D72</f>
        <v>CIV|M05</v>
      </c>
      <c r="B72" s="10" t="s">
        <v>89</v>
      </c>
      <c r="C72" s="10" t="s">
        <v>90</v>
      </c>
      <c r="D72" s="10" t="s">
        <v>135</v>
      </c>
      <c r="E72" s="10" t="s">
        <v>103</v>
      </c>
      <c r="F72" s="10" t="s">
        <v>136</v>
      </c>
      <c r="G72" s="12"/>
      <c r="H72" s="12"/>
      <c r="I72" s="13" t="s">
        <v>288</v>
      </c>
      <c r="J72" s="14" t="n">
        <f aca="false">IFERROR(INDEX(02_Milestone_Catalogue!$H$6:$H$36,MATCH($D72,02_Milestone_Catalogue!$A$6:$A$36,0)),1)</f>
        <v>1</v>
      </c>
      <c r="K72" s="15" t="n">
        <f aca="false">IF($I72="C",1,IF($I72="IP",0.5,IF($I72="D",0.25,IF($I72="NA","",0))))</f>
        <v>0</v>
      </c>
      <c r="L72" s="11"/>
      <c r="M72" s="13" t="s">
        <v>84</v>
      </c>
      <c r="N72" s="11"/>
      <c r="O72" s="11" t="s">
        <v>289</v>
      </c>
      <c r="P72" s="12"/>
      <c r="Q72" s="11"/>
    </row>
    <row r="73" customFormat="false" ht="23.85" hidden="false" customHeight="false" outlineLevel="0" collapsed="false">
      <c r="A73" s="10" t="str">
        <f aca="false">B73&amp;"|"&amp;D73</f>
        <v>CIV|M06</v>
      </c>
      <c r="B73" s="10" t="s">
        <v>89</v>
      </c>
      <c r="C73" s="10" t="s">
        <v>90</v>
      </c>
      <c r="D73" s="10" t="s">
        <v>141</v>
      </c>
      <c r="E73" s="10" t="s">
        <v>103</v>
      </c>
      <c r="F73" s="10" t="s">
        <v>142</v>
      </c>
      <c r="G73" s="12"/>
      <c r="H73" s="12"/>
      <c r="I73" s="13" t="s">
        <v>288</v>
      </c>
      <c r="J73" s="14" t="n">
        <f aca="false">IFERROR(INDEX(02_Milestone_Catalogue!$H$6:$H$36,MATCH($D73,02_Milestone_Catalogue!$A$6:$A$36,0)),1)</f>
        <v>1</v>
      </c>
      <c r="K73" s="15" t="n">
        <f aca="false">IF($I73="C",1,IF($I73="IP",0.5,IF($I73="D",0.25,IF($I73="NA","",0))))</f>
        <v>0</v>
      </c>
      <c r="L73" s="11"/>
      <c r="M73" s="13" t="s">
        <v>84</v>
      </c>
      <c r="N73" s="11"/>
      <c r="O73" s="11" t="s">
        <v>289</v>
      </c>
      <c r="P73" s="12"/>
      <c r="Q73" s="11"/>
    </row>
    <row r="74" customFormat="false" ht="23.85" hidden="false" customHeight="false" outlineLevel="0" collapsed="false">
      <c r="A74" s="10" t="str">
        <f aca="false">B74&amp;"|"&amp;D74</f>
        <v>CIV|M07</v>
      </c>
      <c r="B74" s="10" t="s">
        <v>89</v>
      </c>
      <c r="C74" s="10" t="s">
        <v>90</v>
      </c>
      <c r="D74" s="10" t="s">
        <v>146</v>
      </c>
      <c r="E74" s="10" t="s">
        <v>88</v>
      </c>
      <c r="F74" s="10" t="s">
        <v>147</v>
      </c>
      <c r="G74" s="12"/>
      <c r="H74" s="12"/>
      <c r="I74" s="13" t="s">
        <v>290</v>
      </c>
      <c r="J74" s="14" t="n">
        <f aca="false">IFERROR(INDEX(02_Milestone_Catalogue!$H$6:$H$36,MATCH($D74,02_Milestone_Catalogue!$A$6:$A$36,0)),1)</f>
        <v>1</v>
      </c>
      <c r="K74" s="15" t="n">
        <f aca="false">IF($I74="C",1,IF($I74="IP",0.5,IF($I74="D",0.25,IF($I74="NA","",0))))</f>
        <v>1</v>
      </c>
      <c r="L74" s="11"/>
      <c r="M74" s="13" t="s">
        <v>84</v>
      </c>
      <c r="N74" s="11"/>
      <c r="O74" s="11" t="s">
        <v>291</v>
      </c>
      <c r="P74" s="12"/>
      <c r="Q74" s="11"/>
    </row>
    <row r="75" customFormat="false" ht="23.85" hidden="false" customHeight="false" outlineLevel="0" collapsed="false">
      <c r="A75" s="10" t="str">
        <f aca="false">B75&amp;"|"&amp;D75</f>
        <v>CIV|M08</v>
      </c>
      <c r="B75" s="10" t="s">
        <v>89</v>
      </c>
      <c r="C75" s="10" t="s">
        <v>90</v>
      </c>
      <c r="D75" s="10" t="s">
        <v>152</v>
      </c>
      <c r="E75" s="10" t="s">
        <v>88</v>
      </c>
      <c r="F75" s="10" t="s">
        <v>153</v>
      </c>
      <c r="G75" s="12"/>
      <c r="H75" s="12"/>
      <c r="I75" s="13" t="s">
        <v>290</v>
      </c>
      <c r="J75" s="14" t="n">
        <f aca="false">IFERROR(INDEX(02_Milestone_Catalogue!$H$6:$H$36,MATCH($D75,02_Milestone_Catalogue!$A$6:$A$36,0)),1)</f>
        <v>1</v>
      </c>
      <c r="K75" s="15" t="n">
        <f aca="false">IF($I75="C",1,IF($I75="IP",0.5,IF($I75="D",0.25,IF($I75="NA","",0))))</f>
        <v>1</v>
      </c>
      <c r="L75" s="11"/>
      <c r="M75" s="13" t="s">
        <v>84</v>
      </c>
      <c r="N75" s="11"/>
      <c r="O75" s="11" t="s">
        <v>291</v>
      </c>
      <c r="P75" s="12"/>
      <c r="Q75" s="11"/>
    </row>
    <row r="76" customFormat="false" ht="23.85" hidden="false" customHeight="false" outlineLevel="0" collapsed="false">
      <c r="A76" s="10" t="str">
        <f aca="false">B76&amp;"|"&amp;D76</f>
        <v>CIV|M09</v>
      </c>
      <c r="B76" s="10" t="s">
        <v>89</v>
      </c>
      <c r="C76" s="10" t="s">
        <v>90</v>
      </c>
      <c r="D76" s="10" t="s">
        <v>158</v>
      </c>
      <c r="E76" s="10" t="s">
        <v>88</v>
      </c>
      <c r="F76" s="10" t="s">
        <v>159</v>
      </c>
      <c r="G76" s="12"/>
      <c r="H76" s="12"/>
      <c r="I76" s="13" t="s">
        <v>288</v>
      </c>
      <c r="J76" s="14" t="n">
        <f aca="false">IFERROR(INDEX(02_Milestone_Catalogue!$H$6:$H$36,MATCH($D76,02_Milestone_Catalogue!$A$6:$A$36,0)),1)</f>
        <v>1</v>
      </c>
      <c r="K76" s="15" t="n">
        <f aca="false">IF($I76="C",1,IF($I76="IP",0.5,IF($I76="D",0.25,IF($I76="NA","",0))))</f>
        <v>0</v>
      </c>
      <c r="L76" s="11"/>
      <c r="M76" s="13" t="s">
        <v>84</v>
      </c>
      <c r="N76" s="11"/>
      <c r="O76" s="11" t="s">
        <v>289</v>
      </c>
      <c r="P76" s="12"/>
      <c r="Q76" s="11"/>
    </row>
    <row r="77" customFormat="false" ht="23.85" hidden="false" customHeight="false" outlineLevel="0" collapsed="false">
      <c r="A77" s="10" t="str">
        <f aca="false">B77&amp;"|"&amp;D77</f>
        <v>CIV|M10</v>
      </c>
      <c r="B77" s="10" t="s">
        <v>89</v>
      </c>
      <c r="C77" s="10" t="s">
        <v>90</v>
      </c>
      <c r="D77" s="10" t="s">
        <v>163</v>
      </c>
      <c r="E77" s="10" t="s">
        <v>88</v>
      </c>
      <c r="F77" s="10" t="s">
        <v>164</v>
      </c>
      <c r="G77" s="12"/>
      <c r="H77" s="12"/>
      <c r="I77" s="13" t="s">
        <v>288</v>
      </c>
      <c r="J77" s="14" t="n">
        <f aca="false">IFERROR(INDEX(02_Milestone_Catalogue!$H$6:$H$36,MATCH($D77,02_Milestone_Catalogue!$A$6:$A$36,0)),1)</f>
        <v>1</v>
      </c>
      <c r="K77" s="15" t="n">
        <f aca="false">IF($I77="C",1,IF($I77="IP",0.5,IF($I77="D",0.25,IF($I77="NA","",0))))</f>
        <v>0</v>
      </c>
      <c r="L77" s="11"/>
      <c r="M77" s="13" t="s">
        <v>84</v>
      </c>
      <c r="N77" s="11"/>
      <c r="O77" s="11" t="s">
        <v>289</v>
      </c>
      <c r="P77" s="12"/>
      <c r="Q77" s="11"/>
    </row>
    <row r="78" customFormat="false" ht="23.85" hidden="false" customHeight="false" outlineLevel="0" collapsed="false">
      <c r="A78" s="10" t="str">
        <f aca="false">B78&amp;"|"&amp;D78</f>
        <v>CIV|M11</v>
      </c>
      <c r="B78" s="10" t="s">
        <v>89</v>
      </c>
      <c r="C78" s="10" t="s">
        <v>90</v>
      </c>
      <c r="D78" s="10" t="s">
        <v>168</v>
      </c>
      <c r="E78" s="10" t="s">
        <v>88</v>
      </c>
      <c r="F78" s="10" t="s">
        <v>169</v>
      </c>
      <c r="G78" s="12"/>
      <c r="H78" s="12"/>
      <c r="I78" s="13" t="s">
        <v>288</v>
      </c>
      <c r="J78" s="14" t="n">
        <f aca="false">IFERROR(INDEX(02_Milestone_Catalogue!$H$6:$H$36,MATCH($D78,02_Milestone_Catalogue!$A$6:$A$36,0)),1)</f>
        <v>1</v>
      </c>
      <c r="K78" s="15" t="n">
        <f aca="false">IF($I78="C",1,IF($I78="IP",0.5,IF($I78="D",0.25,IF($I78="NA","",0))))</f>
        <v>0</v>
      </c>
      <c r="L78" s="11"/>
      <c r="M78" s="13" t="s">
        <v>84</v>
      </c>
      <c r="N78" s="11"/>
      <c r="O78" s="11" t="s">
        <v>289</v>
      </c>
      <c r="P78" s="12"/>
      <c r="Q78" s="11"/>
    </row>
    <row r="79" customFormat="false" ht="23.85" hidden="false" customHeight="false" outlineLevel="0" collapsed="false">
      <c r="A79" s="10" t="str">
        <f aca="false">B79&amp;"|"&amp;D79</f>
        <v>CIV|M12</v>
      </c>
      <c r="B79" s="10" t="s">
        <v>89</v>
      </c>
      <c r="C79" s="10" t="s">
        <v>90</v>
      </c>
      <c r="D79" s="10" t="s">
        <v>173</v>
      </c>
      <c r="E79" s="10" t="s">
        <v>88</v>
      </c>
      <c r="F79" s="10" t="s">
        <v>174</v>
      </c>
      <c r="G79" s="12"/>
      <c r="H79" s="12"/>
      <c r="I79" s="13" t="s">
        <v>288</v>
      </c>
      <c r="J79" s="14" t="n">
        <f aca="false">IFERROR(INDEX(02_Milestone_Catalogue!$H$6:$H$36,MATCH($D79,02_Milestone_Catalogue!$A$6:$A$36,0)),1)</f>
        <v>1</v>
      </c>
      <c r="K79" s="15" t="n">
        <f aca="false">IF($I79="C",1,IF($I79="IP",0.5,IF($I79="D",0.25,IF($I79="NA","",0))))</f>
        <v>0</v>
      </c>
      <c r="L79" s="11"/>
      <c r="M79" s="13" t="s">
        <v>84</v>
      </c>
      <c r="N79" s="11"/>
      <c r="O79" s="11" t="s">
        <v>289</v>
      </c>
      <c r="P79" s="12"/>
      <c r="Q79" s="11"/>
    </row>
    <row r="80" customFormat="false" ht="23.85" hidden="false" customHeight="false" outlineLevel="0" collapsed="false">
      <c r="A80" s="10" t="str">
        <f aca="false">B80&amp;"|"&amp;D80</f>
        <v>CIV|M13</v>
      </c>
      <c r="B80" s="10" t="s">
        <v>89</v>
      </c>
      <c r="C80" s="10" t="s">
        <v>90</v>
      </c>
      <c r="D80" s="10" t="s">
        <v>178</v>
      </c>
      <c r="E80" s="10" t="s">
        <v>88</v>
      </c>
      <c r="F80" s="10" t="s">
        <v>179</v>
      </c>
      <c r="G80" s="12"/>
      <c r="H80" s="12"/>
      <c r="I80" s="13" t="s">
        <v>290</v>
      </c>
      <c r="J80" s="14" t="n">
        <f aca="false">IFERROR(INDEX(02_Milestone_Catalogue!$H$6:$H$36,MATCH($D80,02_Milestone_Catalogue!$A$6:$A$36,0)),1)</f>
        <v>1</v>
      </c>
      <c r="K80" s="15" t="n">
        <f aca="false">IF($I80="C",1,IF($I80="IP",0.5,IF($I80="D",0.25,IF($I80="NA","",0))))</f>
        <v>1</v>
      </c>
      <c r="L80" s="11"/>
      <c r="M80" s="13" t="s">
        <v>84</v>
      </c>
      <c r="N80" s="11"/>
      <c r="O80" s="11" t="s">
        <v>291</v>
      </c>
      <c r="P80" s="12"/>
      <c r="Q80" s="11"/>
    </row>
    <row r="81" customFormat="false" ht="15" hidden="false" customHeight="false" outlineLevel="0" collapsed="false">
      <c r="A81" s="10" t="str">
        <f aca="false">B81&amp;"|"&amp;D81</f>
        <v>CIV|M14</v>
      </c>
      <c r="B81" s="10" t="s">
        <v>89</v>
      </c>
      <c r="C81" s="10" t="s">
        <v>90</v>
      </c>
      <c r="D81" s="10" t="s">
        <v>183</v>
      </c>
      <c r="E81" s="10" t="s">
        <v>88</v>
      </c>
      <c r="F81" s="10" t="s">
        <v>184</v>
      </c>
      <c r="G81" s="12"/>
      <c r="H81" s="12"/>
      <c r="I81" s="13" t="s">
        <v>290</v>
      </c>
      <c r="J81" s="14" t="n">
        <f aca="false">IFERROR(INDEX(02_Milestone_Catalogue!$H$6:$H$36,MATCH($D81,02_Milestone_Catalogue!$A$6:$A$36,0)),1)</f>
        <v>1</v>
      </c>
      <c r="K81" s="15" t="n">
        <f aca="false">IF($I81="C",1,IF($I81="IP",0.5,IF($I81="D",0.25,IF($I81="NA","",0))))</f>
        <v>1</v>
      </c>
      <c r="L81" s="11"/>
      <c r="M81" s="13" t="s">
        <v>84</v>
      </c>
      <c r="N81" s="11"/>
      <c r="O81" s="11" t="s">
        <v>291</v>
      </c>
      <c r="P81" s="12"/>
      <c r="Q81" s="11"/>
    </row>
    <row r="82" customFormat="false" ht="15" hidden="false" customHeight="false" outlineLevel="0" collapsed="false">
      <c r="A82" s="10" t="str">
        <f aca="false">B82&amp;"|"&amp;D82</f>
        <v>CIV|M15</v>
      </c>
      <c r="B82" s="10" t="s">
        <v>89</v>
      </c>
      <c r="C82" s="10" t="s">
        <v>90</v>
      </c>
      <c r="D82" s="10" t="s">
        <v>188</v>
      </c>
      <c r="E82" s="10" t="s">
        <v>88</v>
      </c>
      <c r="F82" s="10" t="s">
        <v>189</v>
      </c>
      <c r="G82" s="12"/>
      <c r="H82" s="12"/>
      <c r="I82" s="13" t="s">
        <v>290</v>
      </c>
      <c r="J82" s="14" t="n">
        <f aca="false">IFERROR(INDEX(02_Milestone_Catalogue!$H$6:$H$36,MATCH($D82,02_Milestone_Catalogue!$A$6:$A$36,0)),1)</f>
        <v>1</v>
      </c>
      <c r="K82" s="15" t="n">
        <f aca="false">IF($I82="C",1,IF($I82="IP",0.5,IF($I82="D",0.25,IF($I82="NA","",0))))</f>
        <v>1</v>
      </c>
      <c r="L82" s="11"/>
      <c r="M82" s="13" t="s">
        <v>84</v>
      </c>
      <c r="N82" s="11"/>
      <c r="O82" s="11" t="s">
        <v>291</v>
      </c>
      <c r="P82" s="12"/>
      <c r="Q82" s="11"/>
    </row>
    <row r="83" customFormat="false" ht="15" hidden="false" customHeight="false" outlineLevel="0" collapsed="false">
      <c r="A83" s="10" t="str">
        <f aca="false">B83&amp;"|"&amp;D83</f>
        <v>CIV|M16</v>
      </c>
      <c r="B83" s="10" t="s">
        <v>89</v>
      </c>
      <c r="C83" s="10" t="s">
        <v>90</v>
      </c>
      <c r="D83" s="10" t="s">
        <v>193</v>
      </c>
      <c r="E83" s="10" t="s">
        <v>83</v>
      </c>
      <c r="F83" s="10" t="s">
        <v>194</v>
      </c>
      <c r="G83" s="12"/>
      <c r="H83" s="12"/>
      <c r="I83" s="13" t="s">
        <v>290</v>
      </c>
      <c r="J83" s="14" t="n">
        <f aca="false">IFERROR(INDEX(02_Milestone_Catalogue!$H$6:$H$36,MATCH($D83,02_Milestone_Catalogue!$A$6:$A$36,0)),1)</f>
        <v>1</v>
      </c>
      <c r="K83" s="15" t="n">
        <f aca="false">IF($I83="C",1,IF($I83="IP",0.5,IF($I83="D",0.25,IF($I83="NA","",0))))</f>
        <v>1</v>
      </c>
      <c r="L83" s="11"/>
      <c r="M83" s="13" t="s">
        <v>84</v>
      </c>
      <c r="N83" s="11"/>
      <c r="O83" s="11" t="s">
        <v>291</v>
      </c>
      <c r="P83" s="12"/>
      <c r="Q83" s="11"/>
    </row>
    <row r="84" customFormat="false" ht="23.85" hidden="false" customHeight="false" outlineLevel="0" collapsed="false">
      <c r="A84" s="10" t="str">
        <f aca="false">B84&amp;"|"&amp;D84</f>
        <v>CIV|M17</v>
      </c>
      <c r="B84" s="10" t="s">
        <v>89</v>
      </c>
      <c r="C84" s="10" t="s">
        <v>90</v>
      </c>
      <c r="D84" s="10" t="s">
        <v>199</v>
      </c>
      <c r="E84" s="10" t="s">
        <v>83</v>
      </c>
      <c r="F84" s="10" t="s">
        <v>200</v>
      </c>
      <c r="G84" s="12"/>
      <c r="H84" s="12"/>
      <c r="I84" s="13" t="s">
        <v>288</v>
      </c>
      <c r="J84" s="14" t="n">
        <f aca="false">IFERROR(INDEX(02_Milestone_Catalogue!$H$6:$H$36,MATCH($D84,02_Milestone_Catalogue!$A$6:$A$36,0)),1)</f>
        <v>1</v>
      </c>
      <c r="K84" s="15" t="n">
        <f aca="false">IF($I84="C",1,IF($I84="IP",0.5,IF($I84="D",0.25,IF($I84="NA","",0))))</f>
        <v>0</v>
      </c>
      <c r="L84" s="11"/>
      <c r="M84" s="13" t="s">
        <v>84</v>
      </c>
      <c r="N84" s="11"/>
      <c r="O84" s="11" t="s">
        <v>289</v>
      </c>
      <c r="P84" s="12"/>
      <c r="Q84" s="11"/>
    </row>
    <row r="85" customFormat="false" ht="23.85" hidden="false" customHeight="false" outlineLevel="0" collapsed="false">
      <c r="A85" s="10" t="str">
        <f aca="false">B85&amp;"|"&amp;D85</f>
        <v>CIV|M18</v>
      </c>
      <c r="B85" s="10" t="s">
        <v>89</v>
      </c>
      <c r="C85" s="10" t="s">
        <v>90</v>
      </c>
      <c r="D85" s="10" t="s">
        <v>204</v>
      </c>
      <c r="E85" s="10" t="s">
        <v>83</v>
      </c>
      <c r="F85" s="10" t="s">
        <v>205</v>
      </c>
      <c r="G85" s="12"/>
      <c r="H85" s="12"/>
      <c r="I85" s="13" t="s">
        <v>290</v>
      </c>
      <c r="J85" s="14" t="n">
        <f aca="false">IFERROR(INDEX(02_Milestone_Catalogue!$H$6:$H$36,MATCH($D85,02_Milestone_Catalogue!$A$6:$A$36,0)),1)</f>
        <v>1</v>
      </c>
      <c r="K85" s="15" t="n">
        <f aca="false">IF($I85="C",1,IF($I85="IP",0.5,IF($I85="D",0.25,IF($I85="NA","",0))))</f>
        <v>1</v>
      </c>
      <c r="L85" s="11"/>
      <c r="M85" s="13" t="s">
        <v>84</v>
      </c>
      <c r="N85" s="11"/>
      <c r="O85" s="11" t="s">
        <v>291</v>
      </c>
      <c r="P85" s="12"/>
      <c r="Q85" s="11"/>
    </row>
    <row r="86" customFormat="false" ht="23.85" hidden="false" customHeight="false" outlineLevel="0" collapsed="false">
      <c r="A86" s="10" t="str">
        <f aca="false">B86&amp;"|"&amp;D86</f>
        <v>CIV|M19</v>
      </c>
      <c r="B86" s="10" t="s">
        <v>89</v>
      </c>
      <c r="C86" s="10" t="s">
        <v>90</v>
      </c>
      <c r="D86" s="10" t="s">
        <v>208</v>
      </c>
      <c r="E86" s="10" t="s">
        <v>83</v>
      </c>
      <c r="F86" s="10" t="s">
        <v>209</v>
      </c>
      <c r="G86" s="12"/>
      <c r="H86" s="12"/>
      <c r="I86" s="13" t="s">
        <v>288</v>
      </c>
      <c r="J86" s="14" t="n">
        <f aca="false">IFERROR(INDEX(02_Milestone_Catalogue!$H$6:$H$36,MATCH($D86,02_Milestone_Catalogue!$A$6:$A$36,0)),1)</f>
        <v>1</v>
      </c>
      <c r="K86" s="15" t="n">
        <f aca="false">IF($I86="C",1,IF($I86="IP",0.5,IF($I86="D",0.25,IF($I86="NA","",0))))</f>
        <v>0</v>
      </c>
      <c r="L86" s="11"/>
      <c r="M86" s="13" t="s">
        <v>84</v>
      </c>
      <c r="N86" s="11"/>
      <c r="O86" s="11" t="s">
        <v>289</v>
      </c>
      <c r="P86" s="12"/>
      <c r="Q86" s="11"/>
    </row>
    <row r="87" customFormat="false" ht="23.85" hidden="false" customHeight="false" outlineLevel="0" collapsed="false">
      <c r="A87" s="10" t="str">
        <f aca="false">B87&amp;"|"&amp;D87</f>
        <v>CIV|M20</v>
      </c>
      <c r="B87" s="10" t="s">
        <v>89</v>
      </c>
      <c r="C87" s="10" t="s">
        <v>90</v>
      </c>
      <c r="D87" s="10" t="s">
        <v>213</v>
      </c>
      <c r="E87" s="10" t="s">
        <v>83</v>
      </c>
      <c r="F87" s="10" t="s">
        <v>214</v>
      </c>
      <c r="G87" s="12"/>
      <c r="H87" s="12"/>
      <c r="I87" s="13" t="s">
        <v>288</v>
      </c>
      <c r="J87" s="14" t="n">
        <f aca="false">IFERROR(INDEX(02_Milestone_Catalogue!$H$6:$H$36,MATCH($D87,02_Milestone_Catalogue!$A$6:$A$36,0)),1)</f>
        <v>1</v>
      </c>
      <c r="K87" s="15" t="n">
        <f aca="false">IF($I87="C",1,IF($I87="IP",0.5,IF($I87="D",0.25,IF($I87="NA","",0))))</f>
        <v>0</v>
      </c>
      <c r="L87" s="11"/>
      <c r="M87" s="13" t="s">
        <v>84</v>
      </c>
      <c r="N87" s="11"/>
      <c r="O87" s="11" t="s">
        <v>289</v>
      </c>
      <c r="P87" s="12"/>
      <c r="Q87" s="11"/>
    </row>
    <row r="88" customFormat="false" ht="23.85" hidden="false" customHeight="false" outlineLevel="0" collapsed="false">
      <c r="A88" s="10" t="str">
        <f aca="false">B88&amp;"|"&amp;D88</f>
        <v>CIV|M21</v>
      </c>
      <c r="B88" s="10" t="s">
        <v>89</v>
      </c>
      <c r="C88" s="10" t="s">
        <v>90</v>
      </c>
      <c r="D88" s="10" t="s">
        <v>218</v>
      </c>
      <c r="E88" s="10" t="s">
        <v>92</v>
      </c>
      <c r="F88" s="10" t="s">
        <v>219</v>
      </c>
      <c r="G88" s="12"/>
      <c r="H88" s="12"/>
      <c r="I88" s="13" t="s">
        <v>292</v>
      </c>
      <c r="J88" s="14" t="n">
        <f aca="false">IFERROR(INDEX(02_Milestone_Catalogue!$H$6:$H$36,MATCH($D88,02_Milestone_Catalogue!$A$6:$A$36,0)),1)</f>
        <v>1</v>
      </c>
      <c r="K88" s="15" t="n">
        <f aca="false">IF($I88="C",1,IF($I88="IP",0.5,IF($I88="D",0.25,IF($I88="NA","",0))))</f>
        <v>0.5</v>
      </c>
      <c r="L88" s="11"/>
      <c r="M88" s="13" t="s">
        <v>84</v>
      </c>
      <c r="N88" s="11"/>
      <c r="O88" s="11" t="s">
        <v>291</v>
      </c>
      <c r="P88" s="12"/>
      <c r="Q88" s="11"/>
    </row>
    <row r="89" customFormat="false" ht="23.85" hidden="false" customHeight="false" outlineLevel="0" collapsed="false">
      <c r="A89" s="10" t="str">
        <f aca="false">B89&amp;"|"&amp;D89</f>
        <v>CIV|M22</v>
      </c>
      <c r="B89" s="10" t="s">
        <v>89</v>
      </c>
      <c r="C89" s="10" t="s">
        <v>90</v>
      </c>
      <c r="D89" s="10" t="s">
        <v>224</v>
      </c>
      <c r="E89" s="10" t="s">
        <v>92</v>
      </c>
      <c r="F89" s="10" t="s">
        <v>225</v>
      </c>
      <c r="G89" s="12"/>
      <c r="H89" s="12"/>
      <c r="I89" s="13" t="s">
        <v>292</v>
      </c>
      <c r="J89" s="14" t="n">
        <f aca="false">IFERROR(INDEX(02_Milestone_Catalogue!$H$6:$H$36,MATCH($D89,02_Milestone_Catalogue!$A$6:$A$36,0)),1)</f>
        <v>1</v>
      </c>
      <c r="K89" s="15" t="n">
        <f aca="false">IF($I89="C",1,IF($I89="IP",0.5,IF($I89="D",0.25,IF($I89="NA","",0))))</f>
        <v>0.5</v>
      </c>
      <c r="L89" s="11"/>
      <c r="M89" s="13" t="s">
        <v>84</v>
      </c>
      <c r="N89" s="11"/>
      <c r="O89" s="11" t="s">
        <v>291</v>
      </c>
      <c r="P89" s="12"/>
      <c r="Q89" s="11"/>
    </row>
    <row r="90" customFormat="false" ht="23.85" hidden="false" customHeight="false" outlineLevel="0" collapsed="false">
      <c r="A90" s="10" t="str">
        <f aca="false">B90&amp;"|"&amp;D90</f>
        <v>CIV|M23</v>
      </c>
      <c r="B90" s="10" t="s">
        <v>89</v>
      </c>
      <c r="C90" s="10" t="s">
        <v>90</v>
      </c>
      <c r="D90" s="10" t="s">
        <v>229</v>
      </c>
      <c r="E90" s="10" t="s">
        <v>92</v>
      </c>
      <c r="F90" s="10" t="s">
        <v>230</v>
      </c>
      <c r="G90" s="12"/>
      <c r="H90" s="12"/>
      <c r="I90" s="13" t="s">
        <v>288</v>
      </c>
      <c r="J90" s="14" t="n">
        <f aca="false">IFERROR(INDEX(02_Milestone_Catalogue!$H$6:$H$36,MATCH($D90,02_Milestone_Catalogue!$A$6:$A$36,0)),1)</f>
        <v>1</v>
      </c>
      <c r="K90" s="15" t="n">
        <f aca="false">IF($I90="C",1,IF($I90="IP",0.5,IF($I90="D",0.25,IF($I90="NA","",0))))</f>
        <v>0</v>
      </c>
      <c r="L90" s="11"/>
      <c r="M90" s="13" t="s">
        <v>84</v>
      </c>
      <c r="N90" s="11"/>
      <c r="O90" s="11" t="s">
        <v>291</v>
      </c>
      <c r="P90" s="12"/>
      <c r="Q90" s="11"/>
    </row>
    <row r="91" customFormat="false" ht="23.85" hidden="false" customHeight="false" outlineLevel="0" collapsed="false">
      <c r="A91" s="10" t="str">
        <f aca="false">B91&amp;"|"&amp;D91</f>
        <v>CIV|M24</v>
      </c>
      <c r="B91" s="10" t="s">
        <v>89</v>
      </c>
      <c r="C91" s="10" t="s">
        <v>90</v>
      </c>
      <c r="D91" s="10" t="s">
        <v>234</v>
      </c>
      <c r="E91" s="10" t="s">
        <v>92</v>
      </c>
      <c r="F91" s="10" t="s">
        <v>235</v>
      </c>
      <c r="G91" s="12"/>
      <c r="H91" s="12"/>
      <c r="I91" s="13" t="s">
        <v>288</v>
      </c>
      <c r="J91" s="14" t="n">
        <f aca="false">IFERROR(INDEX(02_Milestone_Catalogue!$H$6:$H$36,MATCH($D91,02_Milestone_Catalogue!$A$6:$A$36,0)),1)</f>
        <v>1</v>
      </c>
      <c r="K91" s="15" t="n">
        <f aca="false">IF($I91="C",1,IF($I91="IP",0.5,IF($I91="D",0.25,IF($I91="NA","",0))))</f>
        <v>0</v>
      </c>
      <c r="L91" s="11"/>
      <c r="M91" s="13" t="s">
        <v>84</v>
      </c>
      <c r="N91" s="11"/>
      <c r="O91" s="11" t="s">
        <v>291</v>
      </c>
      <c r="P91" s="12"/>
      <c r="Q91" s="11"/>
    </row>
    <row r="92" customFormat="false" ht="23.85" hidden="false" customHeight="false" outlineLevel="0" collapsed="false">
      <c r="A92" s="10" t="str">
        <f aca="false">B92&amp;"|"&amp;D92</f>
        <v>CIV|M25</v>
      </c>
      <c r="B92" s="10" t="s">
        <v>89</v>
      </c>
      <c r="C92" s="10" t="s">
        <v>90</v>
      </c>
      <c r="D92" s="10" t="s">
        <v>239</v>
      </c>
      <c r="E92" s="10" t="s">
        <v>240</v>
      </c>
      <c r="F92" s="10" t="s">
        <v>241</v>
      </c>
      <c r="G92" s="12"/>
      <c r="H92" s="12"/>
      <c r="I92" s="13" t="s">
        <v>288</v>
      </c>
      <c r="J92" s="14" t="n">
        <f aca="false">IFERROR(INDEX(02_Milestone_Catalogue!$H$6:$H$36,MATCH($D92,02_Milestone_Catalogue!$A$6:$A$36,0)),1)</f>
        <v>1</v>
      </c>
      <c r="K92" s="15" t="n">
        <f aca="false">IF($I92="C",1,IF($I92="IP",0.5,IF($I92="D",0.25,IF($I92="NA","",0))))</f>
        <v>0</v>
      </c>
      <c r="L92" s="11"/>
      <c r="M92" s="13" t="s">
        <v>84</v>
      </c>
      <c r="N92" s="11"/>
      <c r="O92" s="11" t="s">
        <v>291</v>
      </c>
      <c r="P92" s="12"/>
      <c r="Q92" s="11"/>
    </row>
    <row r="93" customFormat="false" ht="23.85" hidden="false" customHeight="false" outlineLevel="0" collapsed="false">
      <c r="A93" s="10" t="str">
        <f aca="false">B93&amp;"|"&amp;D93</f>
        <v>CIV|M26</v>
      </c>
      <c r="B93" s="10" t="s">
        <v>89</v>
      </c>
      <c r="C93" s="10" t="s">
        <v>90</v>
      </c>
      <c r="D93" s="10" t="s">
        <v>245</v>
      </c>
      <c r="E93" s="10" t="s">
        <v>240</v>
      </c>
      <c r="F93" s="10" t="s">
        <v>246</v>
      </c>
      <c r="G93" s="12"/>
      <c r="H93" s="12"/>
      <c r="I93" s="13" t="s">
        <v>288</v>
      </c>
      <c r="J93" s="14" t="n">
        <f aca="false">IFERROR(INDEX(02_Milestone_Catalogue!$H$6:$H$36,MATCH($D93,02_Milestone_Catalogue!$A$6:$A$36,0)),1)</f>
        <v>1</v>
      </c>
      <c r="K93" s="15" t="n">
        <f aca="false">IF($I93="C",1,IF($I93="IP",0.5,IF($I93="D",0.25,IF($I93="NA","",0))))</f>
        <v>0</v>
      </c>
      <c r="L93" s="11"/>
      <c r="M93" s="13" t="s">
        <v>84</v>
      </c>
      <c r="N93" s="11"/>
      <c r="O93" s="11" t="s">
        <v>291</v>
      </c>
      <c r="P93" s="12"/>
      <c r="Q93" s="11"/>
    </row>
    <row r="94" customFormat="false" ht="23.85" hidden="false" customHeight="false" outlineLevel="0" collapsed="false">
      <c r="A94" s="10" t="str">
        <f aca="false">B94&amp;"|"&amp;D94</f>
        <v>CIV|M27</v>
      </c>
      <c r="B94" s="10" t="s">
        <v>89</v>
      </c>
      <c r="C94" s="10" t="s">
        <v>90</v>
      </c>
      <c r="D94" s="10" t="s">
        <v>249</v>
      </c>
      <c r="E94" s="10" t="s">
        <v>240</v>
      </c>
      <c r="F94" s="10" t="s">
        <v>250</v>
      </c>
      <c r="G94" s="12"/>
      <c r="H94" s="12"/>
      <c r="I94" s="13" t="s">
        <v>288</v>
      </c>
      <c r="J94" s="14" t="n">
        <f aca="false">IFERROR(INDEX(02_Milestone_Catalogue!$H$6:$H$36,MATCH($D94,02_Milestone_Catalogue!$A$6:$A$36,0)),1)</f>
        <v>1</v>
      </c>
      <c r="K94" s="15" t="n">
        <f aca="false">IF($I94="C",1,IF($I94="IP",0.5,IF($I94="D",0.25,IF($I94="NA","",0))))</f>
        <v>0</v>
      </c>
      <c r="L94" s="11"/>
      <c r="M94" s="13" t="s">
        <v>84</v>
      </c>
      <c r="N94" s="11"/>
      <c r="O94" s="11" t="s">
        <v>291</v>
      </c>
      <c r="P94" s="12"/>
      <c r="Q94" s="11"/>
    </row>
    <row r="95" customFormat="false" ht="23.85" hidden="false" customHeight="false" outlineLevel="0" collapsed="false">
      <c r="A95" s="10" t="str">
        <f aca="false">B95&amp;"|"&amp;D95</f>
        <v>CIV|M28</v>
      </c>
      <c r="B95" s="10" t="s">
        <v>89</v>
      </c>
      <c r="C95" s="10" t="s">
        <v>90</v>
      </c>
      <c r="D95" s="10" t="s">
        <v>254</v>
      </c>
      <c r="E95" s="10" t="s">
        <v>240</v>
      </c>
      <c r="F95" s="10" t="s">
        <v>255</v>
      </c>
      <c r="G95" s="12"/>
      <c r="H95" s="12"/>
      <c r="I95" s="13" t="s">
        <v>288</v>
      </c>
      <c r="J95" s="14" t="n">
        <f aca="false">IFERROR(INDEX(02_Milestone_Catalogue!$H$6:$H$36,MATCH($D95,02_Milestone_Catalogue!$A$6:$A$36,0)),1)</f>
        <v>1</v>
      </c>
      <c r="K95" s="15" t="n">
        <f aca="false">IF($I95="C",1,IF($I95="IP",0.5,IF($I95="D",0.25,IF($I95="NA","",0))))</f>
        <v>0</v>
      </c>
      <c r="L95" s="11"/>
      <c r="M95" s="13" t="s">
        <v>84</v>
      </c>
      <c r="N95" s="11"/>
      <c r="O95" s="11" t="s">
        <v>291</v>
      </c>
      <c r="P95" s="12"/>
      <c r="Q95" s="11"/>
    </row>
    <row r="96" customFormat="false" ht="23.85" hidden="false" customHeight="false" outlineLevel="0" collapsed="false">
      <c r="A96" s="10" t="str">
        <f aca="false">B96&amp;"|"&amp;D96</f>
        <v>CIV|M29</v>
      </c>
      <c r="B96" s="10" t="s">
        <v>89</v>
      </c>
      <c r="C96" s="10" t="s">
        <v>90</v>
      </c>
      <c r="D96" s="10" t="s">
        <v>258</v>
      </c>
      <c r="E96" s="10" t="s">
        <v>240</v>
      </c>
      <c r="F96" s="10" t="s">
        <v>259</v>
      </c>
      <c r="G96" s="12"/>
      <c r="H96" s="12"/>
      <c r="I96" s="13" t="s">
        <v>288</v>
      </c>
      <c r="J96" s="14" t="n">
        <f aca="false">IFERROR(INDEX(02_Milestone_Catalogue!$H$6:$H$36,MATCH($D96,02_Milestone_Catalogue!$A$6:$A$36,0)),1)</f>
        <v>1</v>
      </c>
      <c r="K96" s="15" t="n">
        <f aca="false">IF($I96="C",1,IF($I96="IP",0.5,IF($I96="D",0.25,IF($I96="NA","",0))))</f>
        <v>0</v>
      </c>
      <c r="L96" s="11"/>
      <c r="M96" s="13" t="s">
        <v>84</v>
      </c>
      <c r="N96" s="11"/>
      <c r="O96" s="11" t="s">
        <v>289</v>
      </c>
      <c r="P96" s="12"/>
      <c r="Q96" s="11"/>
    </row>
    <row r="97" customFormat="false" ht="23.85" hidden="false" customHeight="false" outlineLevel="0" collapsed="false">
      <c r="A97" s="10" t="str">
        <f aca="false">B97&amp;"|"&amp;D97</f>
        <v>CIV|M30</v>
      </c>
      <c r="B97" s="10" t="s">
        <v>89</v>
      </c>
      <c r="C97" s="10" t="s">
        <v>90</v>
      </c>
      <c r="D97" s="10" t="s">
        <v>264</v>
      </c>
      <c r="E97" s="10" t="s">
        <v>240</v>
      </c>
      <c r="F97" s="10" t="s">
        <v>265</v>
      </c>
      <c r="G97" s="12"/>
      <c r="H97" s="12"/>
      <c r="I97" s="13" t="s">
        <v>288</v>
      </c>
      <c r="J97" s="14" t="n">
        <f aca="false">IFERROR(INDEX(02_Milestone_Catalogue!$H$6:$H$36,MATCH($D97,02_Milestone_Catalogue!$A$6:$A$36,0)),1)</f>
        <v>1</v>
      </c>
      <c r="K97" s="15" t="n">
        <f aca="false">IF($I97="C",1,IF($I97="IP",0.5,IF($I97="D",0.25,IF($I97="NA","",0))))</f>
        <v>0</v>
      </c>
      <c r="L97" s="11"/>
      <c r="M97" s="13" t="s">
        <v>84</v>
      </c>
      <c r="N97" s="11"/>
      <c r="O97" s="11" t="s">
        <v>289</v>
      </c>
      <c r="P97" s="12"/>
      <c r="Q97" s="11"/>
    </row>
    <row r="98" customFormat="false" ht="23.85" hidden="false" customHeight="false" outlineLevel="0" collapsed="false">
      <c r="A98" s="10" t="str">
        <f aca="false">B98&amp;"|"&amp;D98</f>
        <v>CIV|M31</v>
      </c>
      <c r="B98" s="10" t="s">
        <v>89</v>
      </c>
      <c r="C98" s="10" t="s">
        <v>90</v>
      </c>
      <c r="D98" s="10" t="s">
        <v>269</v>
      </c>
      <c r="E98" s="10" t="s">
        <v>240</v>
      </c>
      <c r="F98" s="10" t="s">
        <v>270</v>
      </c>
      <c r="G98" s="12"/>
      <c r="H98" s="12"/>
      <c r="I98" s="13" t="s">
        <v>288</v>
      </c>
      <c r="J98" s="14" t="n">
        <f aca="false">IFERROR(INDEX(02_Milestone_Catalogue!$H$6:$H$36,MATCH($D98,02_Milestone_Catalogue!$A$6:$A$36,0)),1)</f>
        <v>1</v>
      </c>
      <c r="K98" s="15" t="n">
        <f aca="false">IF($I98="C",1,IF($I98="IP",0.5,IF($I98="D",0.25,IF($I98="NA","",0))))</f>
        <v>0</v>
      </c>
      <c r="L98" s="11"/>
      <c r="M98" s="13" t="s">
        <v>84</v>
      </c>
      <c r="N98" s="11"/>
      <c r="O98" s="11" t="s">
        <v>291</v>
      </c>
      <c r="P98" s="12"/>
      <c r="Q98" s="11"/>
    </row>
    <row r="99" customFormat="false" ht="23.85" hidden="false" customHeight="false" outlineLevel="0" collapsed="false">
      <c r="A99" s="10" t="str">
        <f aca="false">B99&amp;"|"&amp;D99</f>
        <v>ETH|M01</v>
      </c>
      <c r="B99" s="10" t="s">
        <v>93</v>
      </c>
      <c r="C99" s="10" t="s">
        <v>94</v>
      </c>
      <c r="D99" s="10" t="s">
        <v>114</v>
      </c>
      <c r="E99" s="10" t="s">
        <v>103</v>
      </c>
      <c r="F99" s="10" t="s">
        <v>115</v>
      </c>
      <c r="G99" s="12"/>
      <c r="H99" s="12"/>
      <c r="I99" s="13" t="s">
        <v>288</v>
      </c>
      <c r="J99" s="14" t="n">
        <f aca="false">IFERROR(INDEX(02_Milestone_Catalogue!$H$6:$H$36,MATCH($D99,02_Milestone_Catalogue!$A$6:$A$36,0)),1)</f>
        <v>1</v>
      </c>
      <c r="K99" s="15" t="n">
        <f aca="false">IF($I99="C",1,IF($I99="IP",0.5,IF($I99="D",0.25,IF($I99="NA","",0))))</f>
        <v>0</v>
      </c>
      <c r="L99" s="11"/>
      <c r="M99" s="13" t="s">
        <v>84</v>
      </c>
      <c r="N99" s="11"/>
      <c r="O99" s="11" t="s">
        <v>289</v>
      </c>
      <c r="P99" s="12"/>
      <c r="Q99" s="11"/>
    </row>
    <row r="100" customFormat="false" ht="23.85" hidden="false" customHeight="false" outlineLevel="0" collapsed="false">
      <c r="A100" s="10" t="str">
        <f aca="false">B100&amp;"|"&amp;D100</f>
        <v>ETH|M02</v>
      </c>
      <c r="B100" s="10" t="s">
        <v>93</v>
      </c>
      <c r="C100" s="10" t="s">
        <v>94</v>
      </c>
      <c r="D100" s="10" t="s">
        <v>120</v>
      </c>
      <c r="E100" s="10" t="s">
        <v>103</v>
      </c>
      <c r="F100" s="10" t="s">
        <v>121</v>
      </c>
      <c r="G100" s="12"/>
      <c r="H100" s="12"/>
      <c r="I100" s="13" t="s">
        <v>290</v>
      </c>
      <c r="J100" s="14" t="n">
        <f aca="false">IFERROR(INDEX(02_Milestone_Catalogue!$H$6:$H$36,MATCH($D100,02_Milestone_Catalogue!$A$6:$A$36,0)),1)</f>
        <v>1</v>
      </c>
      <c r="K100" s="15" t="n">
        <f aca="false">IF($I100="C",1,IF($I100="IP",0.5,IF($I100="D",0.25,IF($I100="NA","",0))))</f>
        <v>1</v>
      </c>
      <c r="L100" s="11"/>
      <c r="M100" s="13" t="s">
        <v>84</v>
      </c>
      <c r="N100" s="11"/>
      <c r="O100" s="11" t="s">
        <v>291</v>
      </c>
      <c r="P100" s="12"/>
      <c r="Q100" s="11"/>
    </row>
    <row r="101" customFormat="false" ht="23.85" hidden="false" customHeight="false" outlineLevel="0" collapsed="false">
      <c r="A101" s="10" t="str">
        <f aca="false">B101&amp;"|"&amp;D101</f>
        <v>ETH|M03</v>
      </c>
      <c r="B101" s="10" t="s">
        <v>93</v>
      </c>
      <c r="C101" s="10" t="s">
        <v>94</v>
      </c>
      <c r="D101" s="10" t="s">
        <v>125</v>
      </c>
      <c r="E101" s="10" t="s">
        <v>103</v>
      </c>
      <c r="F101" s="10" t="s">
        <v>126</v>
      </c>
      <c r="G101" s="12"/>
      <c r="H101" s="12"/>
      <c r="I101" s="13" t="s">
        <v>290</v>
      </c>
      <c r="J101" s="14" t="n">
        <f aca="false">IFERROR(INDEX(02_Milestone_Catalogue!$H$6:$H$36,MATCH($D101,02_Milestone_Catalogue!$A$6:$A$36,0)),1)</f>
        <v>1</v>
      </c>
      <c r="K101" s="15" t="n">
        <f aca="false">IF($I101="C",1,IF($I101="IP",0.5,IF($I101="D",0.25,IF($I101="NA","",0))))</f>
        <v>1</v>
      </c>
      <c r="L101" s="11"/>
      <c r="M101" s="13" t="s">
        <v>84</v>
      </c>
      <c r="N101" s="11"/>
      <c r="O101" s="11" t="s">
        <v>291</v>
      </c>
      <c r="P101" s="12"/>
      <c r="Q101" s="11"/>
    </row>
    <row r="102" customFormat="false" ht="23.85" hidden="false" customHeight="false" outlineLevel="0" collapsed="false">
      <c r="A102" s="10" t="str">
        <f aca="false">B102&amp;"|"&amp;D102</f>
        <v>ETH|M04</v>
      </c>
      <c r="B102" s="10" t="s">
        <v>93</v>
      </c>
      <c r="C102" s="10" t="s">
        <v>94</v>
      </c>
      <c r="D102" s="10" t="s">
        <v>131</v>
      </c>
      <c r="E102" s="10" t="s">
        <v>103</v>
      </c>
      <c r="F102" s="10" t="s">
        <v>132</v>
      </c>
      <c r="G102" s="12"/>
      <c r="H102" s="12"/>
      <c r="I102" s="13" t="s">
        <v>288</v>
      </c>
      <c r="J102" s="14" t="n">
        <f aca="false">IFERROR(INDEX(02_Milestone_Catalogue!$H$6:$H$36,MATCH($D102,02_Milestone_Catalogue!$A$6:$A$36,0)),1)</f>
        <v>1</v>
      </c>
      <c r="K102" s="15" t="n">
        <f aca="false">IF($I102="C",1,IF($I102="IP",0.5,IF($I102="D",0.25,IF($I102="NA","",0))))</f>
        <v>0</v>
      </c>
      <c r="L102" s="11"/>
      <c r="M102" s="13" t="s">
        <v>84</v>
      </c>
      <c r="N102" s="11"/>
      <c r="O102" s="11" t="s">
        <v>289</v>
      </c>
      <c r="P102" s="12"/>
      <c r="Q102" s="11"/>
    </row>
    <row r="103" customFormat="false" ht="23.85" hidden="false" customHeight="false" outlineLevel="0" collapsed="false">
      <c r="A103" s="10" t="str">
        <f aca="false">B103&amp;"|"&amp;D103</f>
        <v>ETH|M05</v>
      </c>
      <c r="B103" s="10" t="s">
        <v>93</v>
      </c>
      <c r="C103" s="10" t="s">
        <v>94</v>
      </c>
      <c r="D103" s="10" t="s">
        <v>135</v>
      </c>
      <c r="E103" s="10" t="s">
        <v>103</v>
      </c>
      <c r="F103" s="10" t="s">
        <v>136</v>
      </c>
      <c r="G103" s="12"/>
      <c r="H103" s="12"/>
      <c r="I103" s="13" t="s">
        <v>288</v>
      </c>
      <c r="J103" s="14" t="n">
        <f aca="false">IFERROR(INDEX(02_Milestone_Catalogue!$H$6:$H$36,MATCH($D103,02_Milestone_Catalogue!$A$6:$A$36,0)),1)</f>
        <v>1</v>
      </c>
      <c r="K103" s="15" t="n">
        <f aca="false">IF($I103="C",1,IF($I103="IP",0.5,IF($I103="D",0.25,IF($I103="NA","",0))))</f>
        <v>0</v>
      </c>
      <c r="L103" s="11"/>
      <c r="M103" s="13" t="s">
        <v>84</v>
      </c>
      <c r="N103" s="11"/>
      <c r="O103" s="11" t="s">
        <v>289</v>
      </c>
      <c r="P103" s="12"/>
      <c r="Q103" s="11"/>
    </row>
    <row r="104" customFormat="false" ht="23.85" hidden="false" customHeight="false" outlineLevel="0" collapsed="false">
      <c r="A104" s="10" t="str">
        <f aca="false">B104&amp;"|"&amp;D104</f>
        <v>ETH|M06</v>
      </c>
      <c r="B104" s="10" t="s">
        <v>93</v>
      </c>
      <c r="C104" s="10" t="s">
        <v>94</v>
      </c>
      <c r="D104" s="10" t="s">
        <v>141</v>
      </c>
      <c r="E104" s="10" t="s">
        <v>103</v>
      </c>
      <c r="F104" s="10" t="s">
        <v>142</v>
      </c>
      <c r="G104" s="12"/>
      <c r="H104" s="12"/>
      <c r="I104" s="13" t="s">
        <v>288</v>
      </c>
      <c r="J104" s="14" t="n">
        <f aca="false">IFERROR(INDEX(02_Milestone_Catalogue!$H$6:$H$36,MATCH($D104,02_Milestone_Catalogue!$A$6:$A$36,0)),1)</f>
        <v>1</v>
      </c>
      <c r="K104" s="15" t="n">
        <f aca="false">IF($I104="C",1,IF($I104="IP",0.5,IF($I104="D",0.25,IF($I104="NA","",0))))</f>
        <v>0</v>
      </c>
      <c r="L104" s="11"/>
      <c r="M104" s="13" t="s">
        <v>84</v>
      </c>
      <c r="N104" s="11"/>
      <c r="O104" s="11" t="s">
        <v>289</v>
      </c>
      <c r="P104" s="12"/>
      <c r="Q104" s="11"/>
    </row>
    <row r="105" customFormat="false" ht="23.85" hidden="false" customHeight="false" outlineLevel="0" collapsed="false">
      <c r="A105" s="10" t="str">
        <f aca="false">B105&amp;"|"&amp;D105</f>
        <v>ETH|M07</v>
      </c>
      <c r="B105" s="10" t="s">
        <v>93</v>
      </c>
      <c r="C105" s="10" t="s">
        <v>94</v>
      </c>
      <c r="D105" s="10" t="s">
        <v>146</v>
      </c>
      <c r="E105" s="10" t="s">
        <v>88</v>
      </c>
      <c r="F105" s="10" t="s">
        <v>147</v>
      </c>
      <c r="G105" s="12"/>
      <c r="H105" s="12"/>
      <c r="I105" s="13" t="s">
        <v>290</v>
      </c>
      <c r="J105" s="14" t="n">
        <f aca="false">IFERROR(INDEX(02_Milestone_Catalogue!$H$6:$H$36,MATCH($D105,02_Milestone_Catalogue!$A$6:$A$36,0)),1)</f>
        <v>1</v>
      </c>
      <c r="K105" s="15" t="n">
        <f aca="false">IF($I105="C",1,IF($I105="IP",0.5,IF($I105="D",0.25,IF($I105="NA","",0))))</f>
        <v>1</v>
      </c>
      <c r="L105" s="11"/>
      <c r="M105" s="13" t="s">
        <v>84</v>
      </c>
      <c r="N105" s="11"/>
      <c r="O105" s="11" t="s">
        <v>291</v>
      </c>
      <c r="P105" s="12"/>
      <c r="Q105" s="11"/>
    </row>
    <row r="106" customFormat="false" ht="23.85" hidden="false" customHeight="false" outlineLevel="0" collapsed="false">
      <c r="A106" s="10" t="str">
        <f aca="false">B106&amp;"|"&amp;D106</f>
        <v>ETH|M08</v>
      </c>
      <c r="B106" s="10" t="s">
        <v>93</v>
      </c>
      <c r="C106" s="10" t="s">
        <v>94</v>
      </c>
      <c r="D106" s="10" t="s">
        <v>152</v>
      </c>
      <c r="E106" s="10" t="s">
        <v>88</v>
      </c>
      <c r="F106" s="10" t="s">
        <v>153</v>
      </c>
      <c r="G106" s="12"/>
      <c r="H106" s="12"/>
      <c r="I106" s="13" t="s">
        <v>290</v>
      </c>
      <c r="J106" s="14" t="n">
        <f aca="false">IFERROR(INDEX(02_Milestone_Catalogue!$H$6:$H$36,MATCH($D106,02_Milestone_Catalogue!$A$6:$A$36,0)),1)</f>
        <v>1</v>
      </c>
      <c r="K106" s="15" t="n">
        <f aca="false">IF($I106="C",1,IF($I106="IP",0.5,IF($I106="D",0.25,IF($I106="NA","",0))))</f>
        <v>1</v>
      </c>
      <c r="L106" s="11"/>
      <c r="M106" s="13" t="s">
        <v>84</v>
      </c>
      <c r="N106" s="11"/>
      <c r="O106" s="11" t="s">
        <v>291</v>
      </c>
      <c r="P106" s="12"/>
      <c r="Q106" s="11"/>
    </row>
    <row r="107" customFormat="false" ht="23.85" hidden="false" customHeight="false" outlineLevel="0" collapsed="false">
      <c r="A107" s="10" t="str">
        <f aca="false">B107&amp;"|"&amp;D107</f>
        <v>ETH|M09</v>
      </c>
      <c r="B107" s="10" t="s">
        <v>93</v>
      </c>
      <c r="C107" s="10" t="s">
        <v>94</v>
      </c>
      <c r="D107" s="10" t="s">
        <v>158</v>
      </c>
      <c r="E107" s="10" t="s">
        <v>88</v>
      </c>
      <c r="F107" s="10" t="s">
        <v>159</v>
      </c>
      <c r="G107" s="12"/>
      <c r="H107" s="12"/>
      <c r="I107" s="13" t="s">
        <v>288</v>
      </c>
      <c r="J107" s="14" t="n">
        <f aca="false">IFERROR(INDEX(02_Milestone_Catalogue!$H$6:$H$36,MATCH($D107,02_Milestone_Catalogue!$A$6:$A$36,0)),1)</f>
        <v>1</v>
      </c>
      <c r="K107" s="15" t="n">
        <f aca="false">IF($I107="C",1,IF($I107="IP",0.5,IF($I107="D",0.25,IF($I107="NA","",0))))</f>
        <v>0</v>
      </c>
      <c r="L107" s="11"/>
      <c r="M107" s="13" t="s">
        <v>84</v>
      </c>
      <c r="N107" s="11"/>
      <c r="O107" s="11" t="s">
        <v>289</v>
      </c>
      <c r="P107" s="12"/>
      <c r="Q107" s="11"/>
    </row>
    <row r="108" customFormat="false" ht="23.85" hidden="false" customHeight="false" outlineLevel="0" collapsed="false">
      <c r="A108" s="10" t="str">
        <f aca="false">B108&amp;"|"&amp;D108</f>
        <v>ETH|M10</v>
      </c>
      <c r="B108" s="10" t="s">
        <v>93</v>
      </c>
      <c r="C108" s="10" t="s">
        <v>94</v>
      </c>
      <c r="D108" s="10" t="s">
        <v>163</v>
      </c>
      <c r="E108" s="10" t="s">
        <v>88</v>
      </c>
      <c r="F108" s="10" t="s">
        <v>164</v>
      </c>
      <c r="G108" s="12"/>
      <c r="H108" s="12"/>
      <c r="I108" s="13" t="s">
        <v>288</v>
      </c>
      <c r="J108" s="14" t="n">
        <f aca="false">IFERROR(INDEX(02_Milestone_Catalogue!$H$6:$H$36,MATCH($D108,02_Milestone_Catalogue!$A$6:$A$36,0)),1)</f>
        <v>1</v>
      </c>
      <c r="K108" s="15" t="n">
        <f aca="false">IF($I108="C",1,IF($I108="IP",0.5,IF($I108="D",0.25,IF($I108="NA","",0))))</f>
        <v>0</v>
      </c>
      <c r="L108" s="11"/>
      <c r="M108" s="13" t="s">
        <v>84</v>
      </c>
      <c r="N108" s="11"/>
      <c r="O108" s="11" t="s">
        <v>289</v>
      </c>
      <c r="P108" s="12"/>
      <c r="Q108" s="11"/>
    </row>
    <row r="109" customFormat="false" ht="23.85" hidden="false" customHeight="false" outlineLevel="0" collapsed="false">
      <c r="A109" s="10" t="str">
        <f aca="false">B109&amp;"|"&amp;D109</f>
        <v>ETH|M11</v>
      </c>
      <c r="B109" s="10" t="s">
        <v>93</v>
      </c>
      <c r="C109" s="10" t="s">
        <v>94</v>
      </c>
      <c r="D109" s="10" t="s">
        <v>168</v>
      </c>
      <c r="E109" s="10" t="s">
        <v>88</v>
      </c>
      <c r="F109" s="10" t="s">
        <v>169</v>
      </c>
      <c r="G109" s="12"/>
      <c r="H109" s="12"/>
      <c r="I109" s="13" t="s">
        <v>288</v>
      </c>
      <c r="J109" s="14" t="n">
        <f aca="false">IFERROR(INDEX(02_Milestone_Catalogue!$H$6:$H$36,MATCH($D109,02_Milestone_Catalogue!$A$6:$A$36,0)),1)</f>
        <v>1</v>
      </c>
      <c r="K109" s="15" t="n">
        <f aca="false">IF($I109="C",1,IF($I109="IP",0.5,IF($I109="D",0.25,IF($I109="NA","",0))))</f>
        <v>0</v>
      </c>
      <c r="L109" s="11"/>
      <c r="M109" s="13" t="s">
        <v>84</v>
      </c>
      <c r="N109" s="11"/>
      <c r="O109" s="11" t="s">
        <v>289</v>
      </c>
      <c r="P109" s="12"/>
      <c r="Q109" s="11"/>
    </row>
    <row r="110" customFormat="false" ht="23.85" hidden="false" customHeight="false" outlineLevel="0" collapsed="false">
      <c r="A110" s="10" t="str">
        <f aca="false">B110&amp;"|"&amp;D110</f>
        <v>ETH|M12</v>
      </c>
      <c r="B110" s="10" t="s">
        <v>93</v>
      </c>
      <c r="C110" s="10" t="s">
        <v>94</v>
      </c>
      <c r="D110" s="10" t="s">
        <v>173</v>
      </c>
      <c r="E110" s="10" t="s">
        <v>88</v>
      </c>
      <c r="F110" s="10" t="s">
        <v>174</v>
      </c>
      <c r="G110" s="12"/>
      <c r="H110" s="12"/>
      <c r="I110" s="13" t="s">
        <v>288</v>
      </c>
      <c r="J110" s="14" t="n">
        <f aca="false">IFERROR(INDEX(02_Milestone_Catalogue!$H$6:$H$36,MATCH($D110,02_Milestone_Catalogue!$A$6:$A$36,0)),1)</f>
        <v>1</v>
      </c>
      <c r="K110" s="15" t="n">
        <f aca="false">IF($I110="C",1,IF($I110="IP",0.5,IF($I110="D",0.25,IF($I110="NA","",0))))</f>
        <v>0</v>
      </c>
      <c r="L110" s="11"/>
      <c r="M110" s="13" t="s">
        <v>84</v>
      </c>
      <c r="N110" s="11"/>
      <c r="O110" s="11" t="s">
        <v>289</v>
      </c>
      <c r="P110" s="12"/>
      <c r="Q110" s="11"/>
    </row>
    <row r="111" customFormat="false" ht="23.85" hidden="false" customHeight="false" outlineLevel="0" collapsed="false">
      <c r="A111" s="10" t="str">
        <f aca="false">B111&amp;"|"&amp;D111</f>
        <v>ETH|M13</v>
      </c>
      <c r="B111" s="10" t="s">
        <v>93</v>
      </c>
      <c r="C111" s="10" t="s">
        <v>94</v>
      </c>
      <c r="D111" s="10" t="s">
        <v>178</v>
      </c>
      <c r="E111" s="10" t="s">
        <v>88</v>
      </c>
      <c r="F111" s="10" t="s">
        <v>179</v>
      </c>
      <c r="G111" s="12"/>
      <c r="H111" s="12"/>
      <c r="I111" s="13" t="s">
        <v>290</v>
      </c>
      <c r="J111" s="14" t="n">
        <f aca="false">IFERROR(INDEX(02_Milestone_Catalogue!$H$6:$H$36,MATCH($D111,02_Milestone_Catalogue!$A$6:$A$36,0)),1)</f>
        <v>1</v>
      </c>
      <c r="K111" s="15" t="n">
        <f aca="false">IF($I111="C",1,IF($I111="IP",0.5,IF($I111="D",0.25,IF($I111="NA","",0))))</f>
        <v>1</v>
      </c>
      <c r="L111" s="11"/>
      <c r="M111" s="13" t="s">
        <v>84</v>
      </c>
      <c r="N111" s="11"/>
      <c r="O111" s="11" t="s">
        <v>291</v>
      </c>
      <c r="P111" s="12"/>
      <c r="Q111" s="11"/>
    </row>
    <row r="112" customFormat="false" ht="15" hidden="false" customHeight="false" outlineLevel="0" collapsed="false">
      <c r="A112" s="10" t="str">
        <f aca="false">B112&amp;"|"&amp;D112</f>
        <v>ETH|M14</v>
      </c>
      <c r="B112" s="10" t="s">
        <v>93</v>
      </c>
      <c r="C112" s="10" t="s">
        <v>94</v>
      </c>
      <c r="D112" s="10" t="s">
        <v>183</v>
      </c>
      <c r="E112" s="10" t="s">
        <v>88</v>
      </c>
      <c r="F112" s="10" t="s">
        <v>184</v>
      </c>
      <c r="G112" s="12"/>
      <c r="H112" s="12"/>
      <c r="I112" s="13" t="s">
        <v>290</v>
      </c>
      <c r="J112" s="14" t="n">
        <f aca="false">IFERROR(INDEX(02_Milestone_Catalogue!$H$6:$H$36,MATCH($D112,02_Milestone_Catalogue!$A$6:$A$36,0)),1)</f>
        <v>1</v>
      </c>
      <c r="K112" s="15" t="n">
        <f aca="false">IF($I112="C",1,IF($I112="IP",0.5,IF($I112="D",0.25,IF($I112="NA","",0))))</f>
        <v>1</v>
      </c>
      <c r="L112" s="11"/>
      <c r="M112" s="13" t="s">
        <v>84</v>
      </c>
      <c r="N112" s="11"/>
      <c r="O112" s="11" t="s">
        <v>291</v>
      </c>
      <c r="P112" s="12"/>
      <c r="Q112" s="11"/>
    </row>
    <row r="113" customFormat="false" ht="15" hidden="false" customHeight="false" outlineLevel="0" collapsed="false">
      <c r="A113" s="10" t="str">
        <f aca="false">B113&amp;"|"&amp;D113</f>
        <v>ETH|M15</v>
      </c>
      <c r="B113" s="10" t="s">
        <v>93</v>
      </c>
      <c r="C113" s="10" t="s">
        <v>94</v>
      </c>
      <c r="D113" s="10" t="s">
        <v>188</v>
      </c>
      <c r="E113" s="10" t="s">
        <v>88</v>
      </c>
      <c r="F113" s="10" t="s">
        <v>189</v>
      </c>
      <c r="G113" s="12"/>
      <c r="H113" s="12"/>
      <c r="I113" s="13" t="s">
        <v>290</v>
      </c>
      <c r="J113" s="14" t="n">
        <f aca="false">IFERROR(INDEX(02_Milestone_Catalogue!$H$6:$H$36,MATCH($D113,02_Milestone_Catalogue!$A$6:$A$36,0)),1)</f>
        <v>1</v>
      </c>
      <c r="K113" s="15" t="n">
        <f aca="false">IF($I113="C",1,IF($I113="IP",0.5,IF($I113="D",0.25,IF($I113="NA","",0))))</f>
        <v>1</v>
      </c>
      <c r="L113" s="11"/>
      <c r="M113" s="13" t="s">
        <v>84</v>
      </c>
      <c r="N113" s="11"/>
      <c r="O113" s="11" t="s">
        <v>291</v>
      </c>
      <c r="P113" s="12"/>
      <c r="Q113" s="11"/>
    </row>
    <row r="114" customFormat="false" ht="15" hidden="false" customHeight="false" outlineLevel="0" collapsed="false">
      <c r="A114" s="10" t="str">
        <f aca="false">B114&amp;"|"&amp;D114</f>
        <v>ETH|M16</v>
      </c>
      <c r="B114" s="10" t="s">
        <v>93</v>
      </c>
      <c r="C114" s="10" t="s">
        <v>94</v>
      </c>
      <c r="D114" s="10" t="s">
        <v>193</v>
      </c>
      <c r="E114" s="10" t="s">
        <v>83</v>
      </c>
      <c r="F114" s="10" t="s">
        <v>194</v>
      </c>
      <c r="G114" s="12"/>
      <c r="H114" s="12"/>
      <c r="I114" s="13" t="s">
        <v>290</v>
      </c>
      <c r="J114" s="14" t="n">
        <f aca="false">IFERROR(INDEX(02_Milestone_Catalogue!$H$6:$H$36,MATCH($D114,02_Milestone_Catalogue!$A$6:$A$36,0)),1)</f>
        <v>1</v>
      </c>
      <c r="K114" s="15" t="n">
        <f aca="false">IF($I114="C",1,IF($I114="IP",0.5,IF($I114="D",0.25,IF($I114="NA","",0))))</f>
        <v>1</v>
      </c>
      <c r="L114" s="11"/>
      <c r="M114" s="13" t="s">
        <v>84</v>
      </c>
      <c r="N114" s="11"/>
      <c r="O114" s="11" t="s">
        <v>291</v>
      </c>
      <c r="P114" s="12"/>
      <c r="Q114" s="11"/>
    </row>
    <row r="115" customFormat="false" ht="23.85" hidden="false" customHeight="false" outlineLevel="0" collapsed="false">
      <c r="A115" s="10" t="str">
        <f aca="false">B115&amp;"|"&amp;D115</f>
        <v>ETH|M17</v>
      </c>
      <c r="B115" s="10" t="s">
        <v>93</v>
      </c>
      <c r="C115" s="10" t="s">
        <v>94</v>
      </c>
      <c r="D115" s="10" t="s">
        <v>199</v>
      </c>
      <c r="E115" s="10" t="s">
        <v>83</v>
      </c>
      <c r="F115" s="10" t="s">
        <v>200</v>
      </c>
      <c r="G115" s="12"/>
      <c r="H115" s="12"/>
      <c r="I115" s="13" t="s">
        <v>288</v>
      </c>
      <c r="J115" s="14" t="n">
        <f aca="false">IFERROR(INDEX(02_Milestone_Catalogue!$H$6:$H$36,MATCH($D115,02_Milestone_Catalogue!$A$6:$A$36,0)),1)</f>
        <v>1</v>
      </c>
      <c r="K115" s="15" t="n">
        <f aca="false">IF($I115="C",1,IF($I115="IP",0.5,IF($I115="D",0.25,IF($I115="NA","",0))))</f>
        <v>0</v>
      </c>
      <c r="L115" s="11"/>
      <c r="M115" s="13" t="s">
        <v>84</v>
      </c>
      <c r="N115" s="11"/>
      <c r="O115" s="11" t="s">
        <v>289</v>
      </c>
      <c r="P115" s="12"/>
      <c r="Q115" s="11"/>
    </row>
    <row r="116" customFormat="false" ht="23.85" hidden="false" customHeight="false" outlineLevel="0" collapsed="false">
      <c r="A116" s="10" t="str">
        <f aca="false">B116&amp;"|"&amp;D116</f>
        <v>ETH|M18</v>
      </c>
      <c r="B116" s="10" t="s">
        <v>93</v>
      </c>
      <c r="C116" s="10" t="s">
        <v>94</v>
      </c>
      <c r="D116" s="10" t="s">
        <v>204</v>
      </c>
      <c r="E116" s="10" t="s">
        <v>83</v>
      </c>
      <c r="F116" s="10" t="s">
        <v>205</v>
      </c>
      <c r="G116" s="12"/>
      <c r="H116" s="12"/>
      <c r="I116" s="13" t="s">
        <v>290</v>
      </c>
      <c r="J116" s="14" t="n">
        <f aca="false">IFERROR(INDEX(02_Milestone_Catalogue!$H$6:$H$36,MATCH($D116,02_Milestone_Catalogue!$A$6:$A$36,0)),1)</f>
        <v>1</v>
      </c>
      <c r="K116" s="15" t="n">
        <f aca="false">IF($I116="C",1,IF($I116="IP",0.5,IF($I116="D",0.25,IF($I116="NA","",0))))</f>
        <v>1</v>
      </c>
      <c r="L116" s="11"/>
      <c r="M116" s="13" t="s">
        <v>84</v>
      </c>
      <c r="N116" s="11"/>
      <c r="O116" s="11" t="s">
        <v>291</v>
      </c>
      <c r="P116" s="12"/>
      <c r="Q116" s="11"/>
    </row>
    <row r="117" customFormat="false" ht="23.85" hidden="false" customHeight="false" outlineLevel="0" collapsed="false">
      <c r="A117" s="10" t="str">
        <f aca="false">B117&amp;"|"&amp;D117</f>
        <v>ETH|M19</v>
      </c>
      <c r="B117" s="10" t="s">
        <v>93</v>
      </c>
      <c r="C117" s="10" t="s">
        <v>94</v>
      </c>
      <c r="D117" s="10" t="s">
        <v>208</v>
      </c>
      <c r="E117" s="10" t="s">
        <v>83</v>
      </c>
      <c r="F117" s="10" t="s">
        <v>209</v>
      </c>
      <c r="G117" s="12"/>
      <c r="H117" s="12"/>
      <c r="I117" s="13" t="s">
        <v>288</v>
      </c>
      <c r="J117" s="14" t="n">
        <f aca="false">IFERROR(INDEX(02_Milestone_Catalogue!$H$6:$H$36,MATCH($D117,02_Milestone_Catalogue!$A$6:$A$36,0)),1)</f>
        <v>1</v>
      </c>
      <c r="K117" s="15" t="n">
        <f aca="false">IF($I117="C",1,IF($I117="IP",0.5,IF($I117="D",0.25,IF($I117="NA","",0))))</f>
        <v>0</v>
      </c>
      <c r="L117" s="11"/>
      <c r="M117" s="13" t="s">
        <v>84</v>
      </c>
      <c r="N117" s="11"/>
      <c r="O117" s="11" t="s">
        <v>289</v>
      </c>
      <c r="P117" s="12"/>
      <c r="Q117" s="11"/>
    </row>
    <row r="118" customFormat="false" ht="23.85" hidden="false" customHeight="false" outlineLevel="0" collapsed="false">
      <c r="A118" s="10" t="str">
        <f aca="false">B118&amp;"|"&amp;D118</f>
        <v>ETH|M20</v>
      </c>
      <c r="B118" s="10" t="s">
        <v>93</v>
      </c>
      <c r="C118" s="10" t="s">
        <v>94</v>
      </c>
      <c r="D118" s="10" t="s">
        <v>213</v>
      </c>
      <c r="E118" s="10" t="s">
        <v>83</v>
      </c>
      <c r="F118" s="10" t="s">
        <v>214</v>
      </c>
      <c r="G118" s="12"/>
      <c r="H118" s="12"/>
      <c r="I118" s="13" t="s">
        <v>288</v>
      </c>
      <c r="J118" s="14" t="n">
        <f aca="false">IFERROR(INDEX(02_Milestone_Catalogue!$H$6:$H$36,MATCH($D118,02_Milestone_Catalogue!$A$6:$A$36,0)),1)</f>
        <v>1</v>
      </c>
      <c r="K118" s="15" t="n">
        <f aca="false">IF($I118="C",1,IF($I118="IP",0.5,IF($I118="D",0.25,IF($I118="NA","",0))))</f>
        <v>0</v>
      </c>
      <c r="L118" s="11"/>
      <c r="M118" s="13" t="s">
        <v>84</v>
      </c>
      <c r="N118" s="11"/>
      <c r="O118" s="11" t="s">
        <v>289</v>
      </c>
      <c r="P118" s="12"/>
      <c r="Q118" s="11"/>
    </row>
    <row r="119" customFormat="false" ht="23.85" hidden="false" customHeight="false" outlineLevel="0" collapsed="false">
      <c r="A119" s="10" t="str">
        <f aca="false">B119&amp;"|"&amp;D119</f>
        <v>ETH|M21</v>
      </c>
      <c r="B119" s="10" t="s">
        <v>93</v>
      </c>
      <c r="C119" s="10" t="s">
        <v>94</v>
      </c>
      <c r="D119" s="10" t="s">
        <v>218</v>
      </c>
      <c r="E119" s="10" t="s">
        <v>92</v>
      </c>
      <c r="F119" s="10" t="s">
        <v>219</v>
      </c>
      <c r="G119" s="12"/>
      <c r="H119" s="12"/>
      <c r="I119" s="13" t="s">
        <v>290</v>
      </c>
      <c r="J119" s="14" t="n">
        <f aca="false">IFERROR(INDEX(02_Milestone_Catalogue!$H$6:$H$36,MATCH($D119,02_Milestone_Catalogue!$A$6:$A$36,0)),1)</f>
        <v>1</v>
      </c>
      <c r="K119" s="15" t="n">
        <f aca="false">IF($I119="C",1,IF($I119="IP",0.5,IF($I119="D",0.25,IF($I119="NA","",0))))</f>
        <v>1</v>
      </c>
      <c r="L119" s="11"/>
      <c r="M119" s="13" t="s">
        <v>84</v>
      </c>
      <c r="N119" s="11"/>
      <c r="O119" s="11" t="s">
        <v>291</v>
      </c>
      <c r="P119" s="12"/>
      <c r="Q119" s="11"/>
    </row>
    <row r="120" customFormat="false" ht="23.85" hidden="false" customHeight="false" outlineLevel="0" collapsed="false">
      <c r="A120" s="10" t="str">
        <f aca="false">B120&amp;"|"&amp;D120</f>
        <v>ETH|M22</v>
      </c>
      <c r="B120" s="10" t="s">
        <v>93</v>
      </c>
      <c r="C120" s="10" t="s">
        <v>94</v>
      </c>
      <c r="D120" s="10" t="s">
        <v>224</v>
      </c>
      <c r="E120" s="10" t="s">
        <v>92</v>
      </c>
      <c r="F120" s="10" t="s">
        <v>225</v>
      </c>
      <c r="G120" s="12"/>
      <c r="H120" s="12"/>
      <c r="I120" s="13" t="s">
        <v>290</v>
      </c>
      <c r="J120" s="14" t="n">
        <f aca="false">IFERROR(INDEX(02_Milestone_Catalogue!$H$6:$H$36,MATCH($D120,02_Milestone_Catalogue!$A$6:$A$36,0)),1)</f>
        <v>1</v>
      </c>
      <c r="K120" s="15" t="n">
        <f aca="false">IF($I120="C",1,IF($I120="IP",0.5,IF($I120="D",0.25,IF($I120="NA","",0))))</f>
        <v>1</v>
      </c>
      <c r="L120" s="11"/>
      <c r="M120" s="13" t="s">
        <v>84</v>
      </c>
      <c r="N120" s="11"/>
      <c r="O120" s="11" t="s">
        <v>291</v>
      </c>
      <c r="P120" s="12"/>
      <c r="Q120" s="11"/>
    </row>
    <row r="121" customFormat="false" ht="23.85" hidden="false" customHeight="false" outlineLevel="0" collapsed="false">
      <c r="A121" s="10" t="str">
        <f aca="false">B121&amp;"|"&amp;D121</f>
        <v>ETH|M23</v>
      </c>
      <c r="B121" s="10" t="s">
        <v>93</v>
      </c>
      <c r="C121" s="10" t="s">
        <v>94</v>
      </c>
      <c r="D121" s="10" t="s">
        <v>229</v>
      </c>
      <c r="E121" s="10" t="s">
        <v>92</v>
      </c>
      <c r="F121" s="10" t="s">
        <v>230</v>
      </c>
      <c r="G121" s="12"/>
      <c r="H121" s="12"/>
      <c r="I121" s="13" t="s">
        <v>290</v>
      </c>
      <c r="J121" s="14" t="n">
        <f aca="false">IFERROR(INDEX(02_Milestone_Catalogue!$H$6:$H$36,MATCH($D121,02_Milestone_Catalogue!$A$6:$A$36,0)),1)</f>
        <v>1</v>
      </c>
      <c r="K121" s="15" t="n">
        <f aca="false">IF($I121="C",1,IF($I121="IP",0.5,IF($I121="D",0.25,IF($I121="NA","",0))))</f>
        <v>1</v>
      </c>
      <c r="L121" s="11"/>
      <c r="M121" s="13" t="s">
        <v>84</v>
      </c>
      <c r="N121" s="11"/>
      <c r="O121" s="11" t="s">
        <v>291</v>
      </c>
      <c r="P121" s="12"/>
      <c r="Q121" s="11"/>
    </row>
    <row r="122" customFormat="false" ht="23.85" hidden="false" customHeight="false" outlineLevel="0" collapsed="false">
      <c r="A122" s="10" t="str">
        <f aca="false">B122&amp;"|"&amp;D122</f>
        <v>ETH|M24</v>
      </c>
      <c r="B122" s="10" t="s">
        <v>93</v>
      </c>
      <c r="C122" s="10" t="s">
        <v>94</v>
      </c>
      <c r="D122" s="10" t="s">
        <v>234</v>
      </c>
      <c r="E122" s="10" t="s">
        <v>92</v>
      </c>
      <c r="F122" s="10" t="s">
        <v>235</v>
      </c>
      <c r="G122" s="12"/>
      <c r="H122" s="12"/>
      <c r="I122" s="13" t="s">
        <v>292</v>
      </c>
      <c r="J122" s="14" t="n">
        <f aca="false">IFERROR(INDEX(02_Milestone_Catalogue!$H$6:$H$36,MATCH($D122,02_Milestone_Catalogue!$A$6:$A$36,0)),1)</f>
        <v>1</v>
      </c>
      <c r="K122" s="15" t="n">
        <f aca="false">IF($I122="C",1,IF($I122="IP",0.5,IF($I122="D",0.25,IF($I122="NA","",0))))</f>
        <v>0.5</v>
      </c>
      <c r="L122" s="11"/>
      <c r="M122" s="13" t="s">
        <v>84</v>
      </c>
      <c r="N122" s="11"/>
      <c r="O122" s="11" t="s">
        <v>291</v>
      </c>
      <c r="P122" s="12"/>
      <c r="Q122" s="11"/>
    </row>
    <row r="123" customFormat="false" ht="23.85" hidden="false" customHeight="false" outlineLevel="0" collapsed="false">
      <c r="A123" s="10" t="str">
        <f aca="false">B123&amp;"|"&amp;D123</f>
        <v>ETH|M25</v>
      </c>
      <c r="B123" s="10" t="s">
        <v>93</v>
      </c>
      <c r="C123" s="10" t="s">
        <v>94</v>
      </c>
      <c r="D123" s="10" t="s">
        <v>239</v>
      </c>
      <c r="E123" s="10" t="s">
        <v>240</v>
      </c>
      <c r="F123" s="10" t="s">
        <v>241</v>
      </c>
      <c r="G123" s="12"/>
      <c r="H123" s="12"/>
      <c r="I123" s="13" t="s">
        <v>288</v>
      </c>
      <c r="J123" s="14" t="n">
        <f aca="false">IFERROR(INDEX(02_Milestone_Catalogue!$H$6:$H$36,MATCH($D123,02_Milestone_Catalogue!$A$6:$A$36,0)),1)</f>
        <v>1</v>
      </c>
      <c r="K123" s="15" t="n">
        <f aca="false">IF($I123="C",1,IF($I123="IP",0.5,IF($I123="D",0.25,IF($I123="NA","",0))))</f>
        <v>0</v>
      </c>
      <c r="L123" s="11"/>
      <c r="M123" s="13" t="s">
        <v>84</v>
      </c>
      <c r="N123" s="11"/>
      <c r="O123" s="11" t="s">
        <v>291</v>
      </c>
      <c r="P123" s="12"/>
      <c r="Q123" s="11"/>
    </row>
    <row r="124" customFormat="false" ht="23.85" hidden="false" customHeight="false" outlineLevel="0" collapsed="false">
      <c r="A124" s="10" t="str">
        <f aca="false">B124&amp;"|"&amp;D124</f>
        <v>ETH|M26</v>
      </c>
      <c r="B124" s="10" t="s">
        <v>93</v>
      </c>
      <c r="C124" s="10" t="s">
        <v>94</v>
      </c>
      <c r="D124" s="10" t="s">
        <v>245</v>
      </c>
      <c r="E124" s="10" t="s">
        <v>240</v>
      </c>
      <c r="F124" s="10" t="s">
        <v>246</v>
      </c>
      <c r="G124" s="12"/>
      <c r="H124" s="12"/>
      <c r="I124" s="13" t="s">
        <v>288</v>
      </c>
      <c r="J124" s="14" t="n">
        <f aca="false">IFERROR(INDEX(02_Milestone_Catalogue!$H$6:$H$36,MATCH($D124,02_Milestone_Catalogue!$A$6:$A$36,0)),1)</f>
        <v>1</v>
      </c>
      <c r="K124" s="15" t="n">
        <f aca="false">IF($I124="C",1,IF($I124="IP",0.5,IF($I124="D",0.25,IF($I124="NA","",0))))</f>
        <v>0</v>
      </c>
      <c r="L124" s="11"/>
      <c r="M124" s="13" t="s">
        <v>84</v>
      </c>
      <c r="N124" s="11"/>
      <c r="O124" s="11" t="s">
        <v>291</v>
      </c>
      <c r="P124" s="12"/>
      <c r="Q124" s="11"/>
    </row>
    <row r="125" customFormat="false" ht="23.85" hidden="false" customHeight="false" outlineLevel="0" collapsed="false">
      <c r="A125" s="10" t="str">
        <f aca="false">B125&amp;"|"&amp;D125</f>
        <v>ETH|M27</v>
      </c>
      <c r="B125" s="10" t="s">
        <v>93</v>
      </c>
      <c r="C125" s="10" t="s">
        <v>94</v>
      </c>
      <c r="D125" s="10" t="s">
        <v>249</v>
      </c>
      <c r="E125" s="10" t="s">
        <v>240</v>
      </c>
      <c r="F125" s="10" t="s">
        <v>250</v>
      </c>
      <c r="G125" s="12"/>
      <c r="H125" s="12"/>
      <c r="I125" s="13" t="s">
        <v>288</v>
      </c>
      <c r="J125" s="14" t="n">
        <f aca="false">IFERROR(INDEX(02_Milestone_Catalogue!$H$6:$H$36,MATCH($D125,02_Milestone_Catalogue!$A$6:$A$36,0)),1)</f>
        <v>1</v>
      </c>
      <c r="K125" s="15" t="n">
        <f aca="false">IF($I125="C",1,IF($I125="IP",0.5,IF($I125="D",0.25,IF($I125="NA","",0))))</f>
        <v>0</v>
      </c>
      <c r="L125" s="11"/>
      <c r="M125" s="13" t="s">
        <v>84</v>
      </c>
      <c r="N125" s="11"/>
      <c r="O125" s="11" t="s">
        <v>291</v>
      </c>
      <c r="P125" s="12"/>
      <c r="Q125" s="11"/>
    </row>
    <row r="126" customFormat="false" ht="23.85" hidden="false" customHeight="false" outlineLevel="0" collapsed="false">
      <c r="A126" s="10" t="str">
        <f aca="false">B126&amp;"|"&amp;D126</f>
        <v>ETH|M28</v>
      </c>
      <c r="B126" s="10" t="s">
        <v>93</v>
      </c>
      <c r="C126" s="10" t="s">
        <v>94</v>
      </c>
      <c r="D126" s="10" t="s">
        <v>254</v>
      </c>
      <c r="E126" s="10" t="s">
        <v>240</v>
      </c>
      <c r="F126" s="10" t="s">
        <v>255</v>
      </c>
      <c r="G126" s="12"/>
      <c r="H126" s="12"/>
      <c r="I126" s="13" t="s">
        <v>288</v>
      </c>
      <c r="J126" s="14" t="n">
        <f aca="false">IFERROR(INDEX(02_Milestone_Catalogue!$H$6:$H$36,MATCH($D126,02_Milestone_Catalogue!$A$6:$A$36,0)),1)</f>
        <v>1</v>
      </c>
      <c r="K126" s="15" t="n">
        <f aca="false">IF($I126="C",1,IF($I126="IP",0.5,IF($I126="D",0.25,IF($I126="NA","",0))))</f>
        <v>0</v>
      </c>
      <c r="L126" s="11"/>
      <c r="M126" s="13" t="s">
        <v>84</v>
      </c>
      <c r="N126" s="11"/>
      <c r="O126" s="11" t="s">
        <v>291</v>
      </c>
      <c r="P126" s="12"/>
      <c r="Q126" s="11"/>
    </row>
    <row r="127" customFormat="false" ht="23.85" hidden="false" customHeight="false" outlineLevel="0" collapsed="false">
      <c r="A127" s="10" t="str">
        <f aca="false">B127&amp;"|"&amp;D127</f>
        <v>ETH|M29</v>
      </c>
      <c r="B127" s="10" t="s">
        <v>93</v>
      </c>
      <c r="C127" s="10" t="s">
        <v>94</v>
      </c>
      <c r="D127" s="10" t="s">
        <v>258</v>
      </c>
      <c r="E127" s="10" t="s">
        <v>240</v>
      </c>
      <c r="F127" s="10" t="s">
        <v>259</v>
      </c>
      <c r="G127" s="12"/>
      <c r="H127" s="12"/>
      <c r="I127" s="13" t="s">
        <v>288</v>
      </c>
      <c r="J127" s="14" t="n">
        <f aca="false">IFERROR(INDEX(02_Milestone_Catalogue!$H$6:$H$36,MATCH($D127,02_Milestone_Catalogue!$A$6:$A$36,0)),1)</f>
        <v>1</v>
      </c>
      <c r="K127" s="15" t="n">
        <f aca="false">IF($I127="C",1,IF($I127="IP",0.5,IF($I127="D",0.25,IF($I127="NA","",0))))</f>
        <v>0</v>
      </c>
      <c r="L127" s="11"/>
      <c r="M127" s="13" t="s">
        <v>84</v>
      </c>
      <c r="N127" s="11"/>
      <c r="O127" s="11" t="s">
        <v>289</v>
      </c>
      <c r="P127" s="12"/>
      <c r="Q127" s="11"/>
    </row>
    <row r="128" customFormat="false" ht="23.85" hidden="false" customHeight="false" outlineLevel="0" collapsed="false">
      <c r="A128" s="10" t="str">
        <f aca="false">B128&amp;"|"&amp;D128</f>
        <v>ETH|M30</v>
      </c>
      <c r="B128" s="10" t="s">
        <v>93</v>
      </c>
      <c r="C128" s="10" t="s">
        <v>94</v>
      </c>
      <c r="D128" s="10" t="s">
        <v>264</v>
      </c>
      <c r="E128" s="10" t="s">
        <v>240</v>
      </c>
      <c r="F128" s="10" t="s">
        <v>265</v>
      </c>
      <c r="G128" s="12"/>
      <c r="H128" s="12"/>
      <c r="I128" s="13" t="s">
        <v>288</v>
      </c>
      <c r="J128" s="14" t="n">
        <f aca="false">IFERROR(INDEX(02_Milestone_Catalogue!$H$6:$H$36,MATCH($D128,02_Milestone_Catalogue!$A$6:$A$36,0)),1)</f>
        <v>1</v>
      </c>
      <c r="K128" s="15" t="n">
        <f aca="false">IF($I128="C",1,IF($I128="IP",0.5,IF($I128="D",0.25,IF($I128="NA","",0))))</f>
        <v>0</v>
      </c>
      <c r="L128" s="11"/>
      <c r="M128" s="13" t="s">
        <v>84</v>
      </c>
      <c r="N128" s="11"/>
      <c r="O128" s="11" t="s">
        <v>289</v>
      </c>
      <c r="P128" s="12"/>
      <c r="Q128" s="11"/>
    </row>
    <row r="129" customFormat="false" ht="23.85" hidden="false" customHeight="false" outlineLevel="0" collapsed="false">
      <c r="A129" s="10" t="str">
        <f aca="false">B129&amp;"|"&amp;D129</f>
        <v>ETH|M31</v>
      </c>
      <c r="B129" s="10" t="s">
        <v>93</v>
      </c>
      <c r="C129" s="10" t="s">
        <v>94</v>
      </c>
      <c r="D129" s="10" t="s">
        <v>269</v>
      </c>
      <c r="E129" s="10" t="s">
        <v>240</v>
      </c>
      <c r="F129" s="10" t="s">
        <v>270</v>
      </c>
      <c r="G129" s="12"/>
      <c r="H129" s="12"/>
      <c r="I129" s="13" t="s">
        <v>288</v>
      </c>
      <c r="J129" s="14" t="n">
        <f aca="false">IFERROR(INDEX(02_Milestone_Catalogue!$H$6:$H$36,MATCH($D129,02_Milestone_Catalogue!$A$6:$A$36,0)),1)</f>
        <v>1</v>
      </c>
      <c r="K129" s="15" t="n">
        <f aca="false">IF($I129="C",1,IF($I129="IP",0.5,IF($I129="D",0.25,IF($I129="NA","",0))))</f>
        <v>0</v>
      </c>
      <c r="L129" s="11"/>
      <c r="M129" s="13" t="s">
        <v>84</v>
      </c>
      <c r="N129" s="11"/>
      <c r="O129" s="11" t="s">
        <v>291</v>
      </c>
      <c r="P129" s="12"/>
      <c r="Q129" s="11"/>
    </row>
    <row r="130" customFormat="false" ht="23.85" hidden="false" customHeight="false" outlineLevel="0" collapsed="false">
      <c r="A130" s="10" t="str">
        <f aca="false">B130&amp;"|"&amp;D130</f>
        <v>ZMB|M01</v>
      </c>
      <c r="B130" s="10" t="s">
        <v>96</v>
      </c>
      <c r="C130" s="10" t="s">
        <v>97</v>
      </c>
      <c r="D130" s="10" t="s">
        <v>114</v>
      </c>
      <c r="E130" s="10" t="s">
        <v>103</v>
      </c>
      <c r="F130" s="10" t="s">
        <v>115</v>
      </c>
      <c r="G130" s="12"/>
      <c r="H130" s="12"/>
      <c r="I130" s="13" t="s">
        <v>288</v>
      </c>
      <c r="J130" s="14" t="n">
        <f aca="false">IFERROR(INDEX(02_Milestone_Catalogue!$H$6:$H$36,MATCH($D130,02_Milestone_Catalogue!$A$6:$A$36,0)),1)</f>
        <v>1</v>
      </c>
      <c r="K130" s="15" t="n">
        <f aca="false">IF($I130="C",1,IF($I130="IP",0.5,IF($I130="D",0.25,IF($I130="NA","",0))))</f>
        <v>0</v>
      </c>
      <c r="L130" s="11"/>
      <c r="M130" s="13" t="s">
        <v>84</v>
      </c>
      <c r="N130" s="11"/>
      <c r="O130" s="11" t="s">
        <v>289</v>
      </c>
      <c r="P130" s="12"/>
      <c r="Q130" s="11"/>
    </row>
    <row r="131" customFormat="false" ht="23.85" hidden="false" customHeight="false" outlineLevel="0" collapsed="false">
      <c r="A131" s="10" t="str">
        <f aca="false">B131&amp;"|"&amp;D131</f>
        <v>ZMB|M02</v>
      </c>
      <c r="B131" s="10" t="s">
        <v>96</v>
      </c>
      <c r="C131" s="10" t="s">
        <v>97</v>
      </c>
      <c r="D131" s="10" t="s">
        <v>120</v>
      </c>
      <c r="E131" s="10" t="s">
        <v>103</v>
      </c>
      <c r="F131" s="10" t="s">
        <v>121</v>
      </c>
      <c r="G131" s="12"/>
      <c r="H131" s="12"/>
      <c r="I131" s="13" t="s">
        <v>290</v>
      </c>
      <c r="J131" s="14" t="n">
        <f aca="false">IFERROR(INDEX(02_Milestone_Catalogue!$H$6:$H$36,MATCH($D131,02_Milestone_Catalogue!$A$6:$A$36,0)),1)</f>
        <v>1</v>
      </c>
      <c r="K131" s="15" t="n">
        <f aca="false">IF($I131="C",1,IF($I131="IP",0.5,IF($I131="D",0.25,IF($I131="NA","",0))))</f>
        <v>1</v>
      </c>
      <c r="L131" s="11"/>
      <c r="M131" s="13" t="s">
        <v>84</v>
      </c>
      <c r="N131" s="11"/>
      <c r="O131" s="11" t="s">
        <v>291</v>
      </c>
      <c r="P131" s="12"/>
      <c r="Q131" s="11"/>
    </row>
    <row r="132" customFormat="false" ht="23.85" hidden="false" customHeight="false" outlineLevel="0" collapsed="false">
      <c r="A132" s="10" t="str">
        <f aca="false">B132&amp;"|"&amp;D132</f>
        <v>ZMB|M03</v>
      </c>
      <c r="B132" s="10" t="s">
        <v>96</v>
      </c>
      <c r="C132" s="10" t="s">
        <v>97</v>
      </c>
      <c r="D132" s="10" t="s">
        <v>125</v>
      </c>
      <c r="E132" s="10" t="s">
        <v>103</v>
      </c>
      <c r="F132" s="10" t="s">
        <v>126</v>
      </c>
      <c r="G132" s="12"/>
      <c r="H132" s="12"/>
      <c r="I132" s="13" t="s">
        <v>290</v>
      </c>
      <c r="J132" s="14" t="n">
        <f aca="false">IFERROR(INDEX(02_Milestone_Catalogue!$H$6:$H$36,MATCH($D132,02_Milestone_Catalogue!$A$6:$A$36,0)),1)</f>
        <v>1</v>
      </c>
      <c r="K132" s="15" t="n">
        <f aca="false">IF($I132="C",1,IF($I132="IP",0.5,IF($I132="D",0.25,IF($I132="NA","",0))))</f>
        <v>1</v>
      </c>
      <c r="L132" s="11"/>
      <c r="M132" s="13" t="s">
        <v>84</v>
      </c>
      <c r="N132" s="11"/>
      <c r="O132" s="11" t="s">
        <v>291</v>
      </c>
      <c r="P132" s="12"/>
      <c r="Q132" s="11"/>
    </row>
    <row r="133" customFormat="false" ht="23.85" hidden="false" customHeight="false" outlineLevel="0" collapsed="false">
      <c r="A133" s="10" t="str">
        <f aca="false">B133&amp;"|"&amp;D133</f>
        <v>ZMB|M04</v>
      </c>
      <c r="B133" s="10" t="s">
        <v>96</v>
      </c>
      <c r="C133" s="10" t="s">
        <v>97</v>
      </c>
      <c r="D133" s="10" t="s">
        <v>131</v>
      </c>
      <c r="E133" s="10" t="s">
        <v>103</v>
      </c>
      <c r="F133" s="10" t="s">
        <v>132</v>
      </c>
      <c r="G133" s="12"/>
      <c r="H133" s="12"/>
      <c r="I133" s="13" t="s">
        <v>288</v>
      </c>
      <c r="J133" s="14" t="n">
        <f aca="false">IFERROR(INDEX(02_Milestone_Catalogue!$H$6:$H$36,MATCH($D133,02_Milestone_Catalogue!$A$6:$A$36,0)),1)</f>
        <v>1</v>
      </c>
      <c r="K133" s="15" t="n">
        <f aca="false">IF($I133="C",1,IF($I133="IP",0.5,IF($I133="D",0.25,IF($I133="NA","",0))))</f>
        <v>0</v>
      </c>
      <c r="L133" s="11"/>
      <c r="M133" s="13" t="s">
        <v>84</v>
      </c>
      <c r="N133" s="11"/>
      <c r="O133" s="11" t="s">
        <v>289</v>
      </c>
      <c r="P133" s="12"/>
      <c r="Q133" s="11"/>
    </row>
    <row r="134" customFormat="false" ht="23.85" hidden="false" customHeight="false" outlineLevel="0" collapsed="false">
      <c r="A134" s="10" t="str">
        <f aca="false">B134&amp;"|"&amp;D134</f>
        <v>ZMB|M05</v>
      </c>
      <c r="B134" s="10" t="s">
        <v>96</v>
      </c>
      <c r="C134" s="10" t="s">
        <v>97</v>
      </c>
      <c r="D134" s="10" t="s">
        <v>135</v>
      </c>
      <c r="E134" s="10" t="s">
        <v>103</v>
      </c>
      <c r="F134" s="10" t="s">
        <v>136</v>
      </c>
      <c r="G134" s="12"/>
      <c r="H134" s="12"/>
      <c r="I134" s="13" t="s">
        <v>288</v>
      </c>
      <c r="J134" s="14" t="n">
        <f aca="false">IFERROR(INDEX(02_Milestone_Catalogue!$H$6:$H$36,MATCH($D134,02_Milestone_Catalogue!$A$6:$A$36,0)),1)</f>
        <v>1</v>
      </c>
      <c r="K134" s="15" t="n">
        <f aca="false">IF($I134="C",1,IF($I134="IP",0.5,IF($I134="D",0.25,IF($I134="NA","",0))))</f>
        <v>0</v>
      </c>
      <c r="L134" s="11"/>
      <c r="M134" s="13" t="s">
        <v>84</v>
      </c>
      <c r="N134" s="11"/>
      <c r="O134" s="11" t="s">
        <v>289</v>
      </c>
      <c r="P134" s="12"/>
      <c r="Q134" s="11"/>
    </row>
    <row r="135" customFormat="false" ht="23.85" hidden="false" customHeight="false" outlineLevel="0" collapsed="false">
      <c r="A135" s="10" t="str">
        <f aca="false">B135&amp;"|"&amp;D135</f>
        <v>ZMB|M06</v>
      </c>
      <c r="B135" s="10" t="s">
        <v>96</v>
      </c>
      <c r="C135" s="10" t="s">
        <v>97</v>
      </c>
      <c r="D135" s="10" t="s">
        <v>141</v>
      </c>
      <c r="E135" s="10" t="s">
        <v>103</v>
      </c>
      <c r="F135" s="10" t="s">
        <v>142</v>
      </c>
      <c r="G135" s="12"/>
      <c r="H135" s="12"/>
      <c r="I135" s="13" t="s">
        <v>288</v>
      </c>
      <c r="J135" s="14" t="n">
        <f aca="false">IFERROR(INDEX(02_Milestone_Catalogue!$H$6:$H$36,MATCH($D135,02_Milestone_Catalogue!$A$6:$A$36,0)),1)</f>
        <v>1</v>
      </c>
      <c r="K135" s="15" t="n">
        <f aca="false">IF($I135="C",1,IF($I135="IP",0.5,IF($I135="D",0.25,IF($I135="NA","",0))))</f>
        <v>0</v>
      </c>
      <c r="L135" s="11"/>
      <c r="M135" s="13" t="s">
        <v>84</v>
      </c>
      <c r="N135" s="11"/>
      <c r="O135" s="11" t="s">
        <v>289</v>
      </c>
      <c r="P135" s="12"/>
      <c r="Q135" s="11"/>
    </row>
    <row r="136" customFormat="false" ht="23.85" hidden="false" customHeight="false" outlineLevel="0" collapsed="false">
      <c r="A136" s="10" t="str">
        <f aca="false">B136&amp;"|"&amp;D136</f>
        <v>ZMB|M07</v>
      </c>
      <c r="B136" s="10" t="s">
        <v>96</v>
      </c>
      <c r="C136" s="10" t="s">
        <v>97</v>
      </c>
      <c r="D136" s="10" t="s">
        <v>146</v>
      </c>
      <c r="E136" s="10" t="s">
        <v>88</v>
      </c>
      <c r="F136" s="10" t="s">
        <v>147</v>
      </c>
      <c r="G136" s="12"/>
      <c r="H136" s="12"/>
      <c r="I136" s="13" t="s">
        <v>292</v>
      </c>
      <c r="J136" s="14" t="n">
        <f aca="false">IFERROR(INDEX(02_Milestone_Catalogue!$H$6:$H$36,MATCH($D136,02_Milestone_Catalogue!$A$6:$A$36,0)),1)</f>
        <v>1</v>
      </c>
      <c r="K136" s="15" t="n">
        <f aca="false">IF($I136="C",1,IF($I136="IP",0.5,IF($I136="D",0.25,IF($I136="NA","",0))))</f>
        <v>0.5</v>
      </c>
      <c r="L136" s="11"/>
      <c r="M136" s="13" t="s">
        <v>84</v>
      </c>
      <c r="N136" s="11"/>
      <c r="O136" s="11" t="s">
        <v>291</v>
      </c>
      <c r="P136" s="12"/>
      <c r="Q136" s="11"/>
    </row>
    <row r="137" customFormat="false" ht="23.85" hidden="false" customHeight="false" outlineLevel="0" collapsed="false">
      <c r="A137" s="10" t="str">
        <f aca="false">B137&amp;"|"&amp;D137</f>
        <v>ZMB|M08</v>
      </c>
      <c r="B137" s="10" t="s">
        <v>96</v>
      </c>
      <c r="C137" s="10" t="s">
        <v>97</v>
      </c>
      <c r="D137" s="10" t="s">
        <v>152</v>
      </c>
      <c r="E137" s="10" t="s">
        <v>88</v>
      </c>
      <c r="F137" s="10" t="s">
        <v>153</v>
      </c>
      <c r="G137" s="12"/>
      <c r="H137" s="12"/>
      <c r="I137" s="13" t="s">
        <v>292</v>
      </c>
      <c r="J137" s="14" t="n">
        <f aca="false">IFERROR(INDEX(02_Milestone_Catalogue!$H$6:$H$36,MATCH($D137,02_Milestone_Catalogue!$A$6:$A$36,0)),1)</f>
        <v>1</v>
      </c>
      <c r="K137" s="15" t="n">
        <f aca="false">IF($I137="C",1,IF($I137="IP",0.5,IF($I137="D",0.25,IF($I137="NA","",0))))</f>
        <v>0.5</v>
      </c>
      <c r="L137" s="11"/>
      <c r="M137" s="13" t="s">
        <v>84</v>
      </c>
      <c r="N137" s="11"/>
      <c r="O137" s="11" t="s">
        <v>291</v>
      </c>
      <c r="P137" s="12"/>
      <c r="Q137" s="11"/>
    </row>
    <row r="138" customFormat="false" ht="23.85" hidden="false" customHeight="false" outlineLevel="0" collapsed="false">
      <c r="A138" s="10" t="str">
        <f aca="false">B138&amp;"|"&amp;D138</f>
        <v>ZMB|M09</v>
      </c>
      <c r="B138" s="10" t="s">
        <v>96</v>
      </c>
      <c r="C138" s="10" t="s">
        <v>97</v>
      </c>
      <c r="D138" s="10" t="s">
        <v>158</v>
      </c>
      <c r="E138" s="10" t="s">
        <v>88</v>
      </c>
      <c r="F138" s="10" t="s">
        <v>159</v>
      </c>
      <c r="G138" s="12"/>
      <c r="H138" s="12"/>
      <c r="I138" s="13" t="s">
        <v>288</v>
      </c>
      <c r="J138" s="14" t="n">
        <f aca="false">IFERROR(INDEX(02_Milestone_Catalogue!$H$6:$H$36,MATCH($D138,02_Milestone_Catalogue!$A$6:$A$36,0)),1)</f>
        <v>1</v>
      </c>
      <c r="K138" s="15" t="n">
        <f aca="false">IF($I138="C",1,IF($I138="IP",0.5,IF($I138="D",0.25,IF($I138="NA","",0))))</f>
        <v>0</v>
      </c>
      <c r="L138" s="11"/>
      <c r="M138" s="13" t="s">
        <v>84</v>
      </c>
      <c r="N138" s="11"/>
      <c r="O138" s="11" t="s">
        <v>289</v>
      </c>
      <c r="P138" s="12"/>
      <c r="Q138" s="11"/>
    </row>
    <row r="139" customFormat="false" ht="23.85" hidden="false" customHeight="false" outlineLevel="0" collapsed="false">
      <c r="A139" s="10" t="str">
        <f aca="false">B139&amp;"|"&amp;D139</f>
        <v>ZMB|M10</v>
      </c>
      <c r="B139" s="10" t="s">
        <v>96</v>
      </c>
      <c r="C139" s="10" t="s">
        <v>97</v>
      </c>
      <c r="D139" s="10" t="s">
        <v>163</v>
      </c>
      <c r="E139" s="10" t="s">
        <v>88</v>
      </c>
      <c r="F139" s="10" t="s">
        <v>164</v>
      </c>
      <c r="G139" s="12"/>
      <c r="H139" s="12"/>
      <c r="I139" s="13" t="s">
        <v>288</v>
      </c>
      <c r="J139" s="14" t="n">
        <f aca="false">IFERROR(INDEX(02_Milestone_Catalogue!$H$6:$H$36,MATCH($D139,02_Milestone_Catalogue!$A$6:$A$36,0)),1)</f>
        <v>1</v>
      </c>
      <c r="K139" s="15" t="n">
        <f aca="false">IF($I139="C",1,IF($I139="IP",0.5,IF($I139="D",0.25,IF($I139="NA","",0))))</f>
        <v>0</v>
      </c>
      <c r="L139" s="11"/>
      <c r="M139" s="13" t="s">
        <v>84</v>
      </c>
      <c r="N139" s="11"/>
      <c r="O139" s="11" t="s">
        <v>289</v>
      </c>
      <c r="P139" s="12"/>
      <c r="Q139" s="11"/>
    </row>
    <row r="140" customFormat="false" ht="23.85" hidden="false" customHeight="false" outlineLevel="0" collapsed="false">
      <c r="A140" s="10" t="str">
        <f aca="false">B140&amp;"|"&amp;D140</f>
        <v>ZMB|M11</v>
      </c>
      <c r="B140" s="10" t="s">
        <v>96</v>
      </c>
      <c r="C140" s="10" t="s">
        <v>97</v>
      </c>
      <c r="D140" s="10" t="s">
        <v>168</v>
      </c>
      <c r="E140" s="10" t="s">
        <v>88</v>
      </c>
      <c r="F140" s="10" t="s">
        <v>169</v>
      </c>
      <c r="G140" s="12"/>
      <c r="H140" s="12"/>
      <c r="I140" s="13" t="s">
        <v>288</v>
      </c>
      <c r="J140" s="14" t="n">
        <f aca="false">IFERROR(INDEX(02_Milestone_Catalogue!$H$6:$H$36,MATCH($D140,02_Milestone_Catalogue!$A$6:$A$36,0)),1)</f>
        <v>1</v>
      </c>
      <c r="K140" s="15" t="n">
        <f aca="false">IF($I140="C",1,IF($I140="IP",0.5,IF($I140="D",0.25,IF($I140="NA","",0))))</f>
        <v>0</v>
      </c>
      <c r="L140" s="11"/>
      <c r="M140" s="13" t="s">
        <v>84</v>
      </c>
      <c r="N140" s="11"/>
      <c r="O140" s="11" t="s">
        <v>289</v>
      </c>
      <c r="P140" s="12"/>
      <c r="Q140" s="11"/>
    </row>
    <row r="141" customFormat="false" ht="23.85" hidden="false" customHeight="false" outlineLevel="0" collapsed="false">
      <c r="A141" s="10" t="str">
        <f aca="false">B141&amp;"|"&amp;D141</f>
        <v>ZMB|M12</v>
      </c>
      <c r="B141" s="10" t="s">
        <v>96</v>
      </c>
      <c r="C141" s="10" t="s">
        <v>97</v>
      </c>
      <c r="D141" s="10" t="s">
        <v>173</v>
      </c>
      <c r="E141" s="10" t="s">
        <v>88</v>
      </c>
      <c r="F141" s="10" t="s">
        <v>174</v>
      </c>
      <c r="G141" s="12"/>
      <c r="H141" s="12"/>
      <c r="I141" s="13" t="s">
        <v>288</v>
      </c>
      <c r="J141" s="14" t="n">
        <f aca="false">IFERROR(INDEX(02_Milestone_Catalogue!$H$6:$H$36,MATCH($D141,02_Milestone_Catalogue!$A$6:$A$36,0)),1)</f>
        <v>1</v>
      </c>
      <c r="K141" s="15" t="n">
        <f aca="false">IF($I141="C",1,IF($I141="IP",0.5,IF($I141="D",0.25,IF($I141="NA","",0))))</f>
        <v>0</v>
      </c>
      <c r="L141" s="11"/>
      <c r="M141" s="13" t="s">
        <v>84</v>
      </c>
      <c r="N141" s="11"/>
      <c r="O141" s="11" t="s">
        <v>289</v>
      </c>
      <c r="P141" s="12"/>
      <c r="Q141" s="11"/>
    </row>
    <row r="142" customFormat="false" ht="23.85" hidden="false" customHeight="false" outlineLevel="0" collapsed="false">
      <c r="A142" s="10" t="str">
        <f aca="false">B142&amp;"|"&amp;D142</f>
        <v>ZMB|M13</v>
      </c>
      <c r="B142" s="10" t="s">
        <v>96</v>
      </c>
      <c r="C142" s="10" t="s">
        <v>97</v>
      </c>
      <c r="D142" s="10" t="s">
        <v>178</v>
      </c>
      <c r="E142" s="10" t="s">
        <v>88</v>
      </c>
      <c r="F142" s="10" t="s">
        <v>179</v>
      </c>
      <c r="G142" s="12"/>
      <c r="H142" s="12"/>
      <c r="I142" s="13" t="s">
        <v>290</v>
      </c>
      <c r="J142" s="14" t="n">
        <f aca="false">IFERROR(INDEX(02_Milestone_Catalogue!$H$6:$H$36,MATCH($D142,02_Milestone_Catalogue!$A$6:$A$36,0)),1)</f>
        <v>1</v>
      </c>
      <c r="K142" s="15" t="n">
        <f aca="false">IF($I142="C",1,IF($I142="IP",0.5,IF($I142="D",0.25,IF($I142="NA","",0))))</f>
        <v>1</v>
      </c>
      <c r="L142" s="11"/>
      <c r="M142" s="13" t="s">
        <v>84</v>
      </c>
      <c r="N142" s="11"/>
      <c r="O142" s="11" t="s">
        <v>291</v>
      </c>
      <c r="P142" s="12"/>
      <c r="Q142" s="11"/>
    </row>
    <row r="143" customFormat="false" ht="15" hidden="false" customHeight="false" outlineLevel="0" collapsed="false">
      <c r="A143" s="10" t="str">
        <f aca="false">B143&amp;"|"&amp;D143</f>
        <v>ZMB|M14</v>
      </c>
      <c r="B143" s="10" t="s">
        <v>96</v>
      </c>
      <c r="C143" s="10" t="s">
        <v>97</v>
      </c>
      <c r="D143" s="10" t="s">
        <v>183</v>
      </c>
      <c r="E143" s="10" t="s">
        <v>88</v>
      </c>
      <c r="F143" s="10" t="s">
        <v>184</v>
      </c>
      <c r="G143" s="12"/>
      <c r="H143" s="12"/>
      <c r="I143" s="13" t="s">
        <v>293</v>
      </c>
      <c r="J143" s="14" t="n">
        <f aca="false">IFERROR(INDEX(02_Milestone_Catalogue!$H$6:$H$36,MATCH($D143,02_Milestone_Catalogue!$A$6:$A$36,0)),1)</f>
        <v>1</v>
      </c>
      <c r="K143" s="15" t="n">
        <f aca="false">IF($I143="C",1,IF($I143="IP",0.5,IF($I143="D",0.25,IF($I143="NA","",0))))</f>
        <v>0.25</v>
      </c>
      <c r="L143" s="11"/>
      <c r="M143" s="13" t="s">
        <v>84</v>
      </c>
      <c r="N143" s="11"/>
      <c r="O143" s="11" t="s">
        <v>291</v>
      </c>
      <c r="P143" s="12"/>
      <c r="Q143" s="11"/>
    </row>
    <row r="144" customFormat="false" ht="15" hidden="false" customHeight="false" outlineLevel="0" collapsed="false">
      <c r="A144" s="10" t="str">
        <f aca="false">B144&amp;"|"&amp;D144</f>
        <v>ZMB|M15</v>
      </c>
      <c r="B144" s="10" t="s">
        <v>96</v>
      </c>
      <c r="C144" s="10" t="s">
        <v>97</v>
      </c>
      <c r="D144" s="10" t="s">
        <v>188</v>
      </c>
      <c r="E144" s="10" t="s">
        <v>88</v>
      </c>
      <c r="F144" s="10" t="s">
        <v>189</v>
      </c>
      <c r="G144" s="12"/>
      <c r="H144" s="12"/>
      <c r="I144" s="13" t="s">
        <v>293</v>
      </c>
      <c r="J144" s="14" t="n">
        <f aca="false">IFERROR(INDEX(02_Milestone_Catalogue!$H$6:$H$36,MATCH($D144,02_Milestone_Catalogue!$A$6:$A$36,0)),1)</f>
        <v>1</v>
      </c>
      <c r="K144" s="15" t="n">
        <f aca="false">IF($I144="C",1,IF($I144="IP",0.5,IF($I144="D",0.25,IF($I144="NA","",0))))</f>
        <v>0.25</v>
      </c>
      <c r="L144" s="11"/>
      <c r="M144" s="13" t="s">
        <v>84</v>
      </c>
      <c r="N144" s="11"/>
      <c r="O144" s="11" t="s">
        <v>291</v>
      </c>
      <c r="P144" s="12"/>
      <c r="Q144" s="11"/>
    </row>
    <row r="145" customFormat="false" ht="15" hidden="false" customHeight="false" outlineLevel="0" collapsed="false">
      <c r="A145" s="10" t="str">
        <f aca="false">B145&amp;"|"&amp;D145</f>
        <v>ZMB|M16</v>
      </c>
      <c r="B145" s="10" t="s">
        <v>96</v>
      </c>
      <c r="C145" s="10" t="s">
        <v>97</v>
      </c>
      <c r="D145" s="10" t="s">
        <v>193</v>
      </c>
      <c r="E145" s="10" t="s">
        <v>83</v>
      </c>
      <c r="F145" s="10" t="s">
        <v>194</v>
      </c>
      <c r="G145" s="12"/>
      <c r="H145" s="12"/>
      <c r="I145" s="13" t="s">
        <v>288</v>
      </c>
      <c r="J145" s="14" t="n">
        <f aca="false">IFERROR(INDEX(02_Milestone_Catalogue!$H$6:$H$36,MATCH($D145,02_Milestone_Catalogue!$A$6:$A$36,0)),1)</f>
        <v>1</v>
      </c>
      <c r="K145" s="15" t="n">
        <f aca="false">IF($I145="C",1,IF($I145="IP",0.5,IF($I145="D",0.25,IF($I145="NA","",0))))</f>
        <v>0</v>
      </c>
      <c r="L145" s="11"/>
      <c r="M145" s="13" t="s">
        <v>84</v>
      </c>
      <c r="N145" s="11"/>
      <c r="O145" s="11" t="s">
        <v>291</v>
      </c>
      <c r="P145" s="12"/>
      <c r="Q145" s="11"/>
    </row>
    <row r="146" customFormat="false" ht="23.85" hidden="false" customHeight="false" outlineLevel="0" collapsed="false">
      <c r="A146" s="10" t="str">
        <f aca="false">B146&amp;"|"&amp;D146</f>
        <v>ZMB|M17</v>
      </c>
      <c r="B146" s="10" t="s">
        <v>96</v>
      </c>
      <c r="C146" s="10" t="s">
        <v>97</v>
      </c>
      <c r="D146" s="10" t="s">
        <v>199</v>
      </c>
      <c r="E146" s="10" t="s">
        <v>83</v>
      </c>
      <c r="F146" s="10" t="s">
        <v>200</v>
      </c>
      <c r="G146" s="12"/>
      <c r="H146" s="12"/>
      <c r="I146" s="13" t="s">
        <v>288</v>
      </c>
      <c r="J146" s="14" t="n">
        <f aca="false">IFERROR(INDEX(02_Milestone_Catalogue!$H$6:$H$36,MATCH($D146,02_Milestone_Catalogue!$A$6:$A$36,0)),1)</f>
        <v>1</v>
      </c>
      <c r="K146" s="15" t="n">
        <f aca="false">IF($I146="C",1,IF($I146="IP",0.5,IF($I146="D",0.25,IF($I146="NA","",0))))</f>
        <v>0</v>
      </c>
      <c r="L146" s="11"/>
      <c r="M146" s="13" t="s">
        <v>84</v>
      </c>
      <c r="N146" s="11"/>
      <c r="O146" s="11" t="s">
        <v>289</v>
      </c>
      <c r="P146" s="12"/>
      <c r="Q146" s="11"/>
    </row>
    <row r="147" customFormat="false" ht="23.85" hidden="false" customHeight="false" outlineLevel="0" collapsed="false">
      <c r="A147" s="10" t="str">
        <f aca="false">B147&amp;"|"&amp;D147</f>
        <v>ZMB|M18</v>
      </c>
      <c r="B147" s="10" t="s">
        <v>96</v>
      </c>
      <c r="C147" s="10" t="s">
        <v>97</v>
      </c>
      <c r="D147" s="10" t="s">
        <v>204</v>
      </c>
      <c r="E147" s="10" t="s">
        <v>83</v>
      </c>
      <c r="F147" s="10" t="s">
        <v>205</v>
      </c>
      <c r="G147" s="12"/>
      <c r="H147" s="12"/>
      <c r="I147" s="13" t="s">
        <v>288</v>
      </c>
      <c r="J147" s="14" t="n">
        <f aca="false">IFERROR(INDEX(02_Milestone_Catalogue!$H$6:$H$36,MATCH($D147,02_Milestone_Catalogue!$A$6:$A$36,0)),1)</f>
        <v>1</v>
      </c>
      <c r="K147" s="15" t="n">
        <f aca="false">IF($I147="C",1,IF($I147="IP",0.5,IF($I147="D",0.25,IF($I147="NA","",0))))</f>
        <v>0</v>
      </c>
      <c r="L147" s="11"/>
      <c r="M147" s="13" t="s">
        <v>84</v>
      </c>
      <c r="N147" s="11"/>
      <c r="O147" s="11" t="s">
        <v>291</v>
      </c>
      <c r="P147" s="12"/>
      <c r="Q147" s="11"/>
    </row>
    <row r="148" customFormat="false" ht="23.85" hidden="false" customHeight="false" outlineLevel="0" collapsed="false">
      <c r="A148" s="10" t="str">
        <f aca="false">B148&amp;"|"&amp;D148</f>
        <v>ZMB|M19</v>
      </c>
      <c r="B148" s="10" t="s">
        <v>96</v>
      </c>
      <c r="C148" s="10" t="s">
        <v>97</v>
      </c>
      <c r="D148" s="10" t="s">
        <v>208</v>
      </c>
      <c r="E148" s="10" t="s">
        <v>83</v>
      </c>
      <c r="F148" s="10" t="s">
        <v>209</v>
      </c>
      <c r="G148" s="12"/>
      <c r="H148" s="12"/>
      <c r="I148" s="13" t="s">
        <v>288</v>
      </c>
      <c r="J148" s="14" t="n">
        <f aca="false">IFERROR(INDEX(02_Milestone_Catalogue!$H$6:$H$36,MATCH($D148,02_Milestone_Catalogue!$A$6:$A$36,0)),1)</f>
        <v>1</v>
      </c>
      <c r="K148" s="15" t="n">
        <f aca="false">IF($I148="C",1,IF($I148="IP",0.5,IF($I148="D",0.25,IF($I148="NA","",0))))</f>
        <v>0</v>
      </c>
      <c r="L148" s="11"/>
      <c r="M148" s="13" t="s">
        <v>84</v>
      </c>
      <c r="N148" s="11"/>
      <c r="O148" s="11" t="s">
        <v>289</v>
      </c>
      <c r="P148" s="12"/>
      <c r="Q148" s="11"/>
    </row>
    <row r="149" customFormat="false" ht="23.85" hidden="false" customHeight="false" outlineLevel="0" collapsed="false">
      <c r="A149" s="10" t="str">
        <f aca="false">B149&amp;"|"&amp;D149</f>
        <v>ZMB|M20</v>
      </c>
      <c r="B149" s="10" t="s">
        <v>96</v>
      </c>
      <c r="C149" s="10" t="s">
        <v>97</v>
      </c>
      <c r="D149" s="10" t="s">
        <v>213</v>
      </c>
      <c r="E149" s="10" t="s">
        <v>83</v>
      </c>
      <c r="F149" s="10" t="s">
        <v>214</v>
      </c>
      <c r="G149" s="12"/>
      <c r="H149" s="12"/>
      <c r="I149" s="13" t="s">
        <v>288</v>
      </c>
      <c r="J149" s="14" t="n">
        <f aca="false">IFERROR(INDEX(02_Milestone_Catalogue!$H$6:$H$36,MATCH($D149,02_Milestone_Catalogue!$A$6:$A$36,0)),1)</f>
        <v>1</v>
      </c>
      <c r="K149" s="15" t="n">
        <f aca="false">IF($I149="C",1,IF($I149="IP",0.5,IF($I149="D",0.25,IF($I149="NA","",0))))</f>
        <v>0</v>
      </c>
      <c r="L149" s="11"/>
      <c r="M149" s="13" t="s">
        <v>84</v>
      </c>
      <c r="N149" s="11"/>
      <c r="O149" s="11" t="s">
        <v>289</v>
      </c>
      <c r="P149" s="12"/>
      <c r="Q149" s="11"/>
    </row>
    <row r="150" customFormat="false" ht="23.85" hidden="false" customHeight="false" outlineLevel="0" collapsed="false">
      <c r="A150" s="10" t="str">
        <f aca="false">B150&amp;"|"&amp;D150</f>
        <v>ZMB|M21</v>
      </c>
      <c r="B150" s="10" t="s">
        <v>96</v>
      </c>
      <c r="C150" s="10" t="s">
        <v>97</v>
      </c>
      <c r="D150" s="10" t="s">
        <v>218</v>
      </c>
      <c r="E150" s="10" t="s">
        <v>92</v>
      </c>
      <c r="F150" s="10" t="s">
        <v>219</v>
      </c>
      <c r="G150" s="12"/>
      <c r="H150" s="12"/>
      <c r="I150" s="13" t="s">
        <v>288</v>
      </c>
      <c r="J150" s="14" t="n">
        <f aca="false">IFERROR(INDEX(02_Milestone_Catalogue!$H$6:$H$36,MATCH($D150,02_Milestone_Catalogue!$A$6:$A$36,0)),1)</f>
        <v>1</v>
      </c>
      <c r="K150" s="15" t="n">
        <f aca="false">IF($I150="C",1,IF($I150="IP",0.5,IF($I150="D",0.25,IF($I150="NA","",0))))</f>
        <v>0</v>
      </c>
      <c r="L150" s="11"/>
      <c r="M150" s="13" t="s">
        <v>84</v>
      </c>
      <c r="N150" s="11"/>
      <c r="O150" s="11" t="s">
        <v>291</v>
      </c>
      <c r="P150" s="12"/>
      <c r="Q150" s="11"/>
    </row>
    <row r="151" customFormat="false" ht="23.85" hidden="false" customHeight="false" outlineLevel="0" collapsed="false">
      <c r="A151" s="10" t="str">
        <f aca="false">B151&amp;"|"&amp;D151</f>
        <v>ZMB|M22</v>
      </c>
      <c r="B151" s="10" t="s">
        <v>96</v>
      </c>
      <c r="C151" s="10" t="s">
        <v>97</v>
      </c>
      <c r="D151" s="10" t="s">
        <v>224</v>
      </c>
      <c r="E151" s="10" t="s">
        <v>92</v>
      </c>
      <c r="F151" s="10" t="s">
        <v>225</v>
      </c>
      <c r="G151" s="12"/>
      <c r="H151" s="12"/>
      <c r="I151" s="13" t="s">
        <v>288</v>
      </c>
      <c r="J151" s="14" t="n">
        <f aca="false">IFERROR(INDEX(02_Milestone_Catalogue!$H$6:$H$36,MATCH($D151,02_Milestone_Catalogue!$A$6:$A$36,0)),1)</f>
        <v>1</v>
      </c>
      <c r="K151" s="15" t="n">
        <f aca="false">IF($I151="C",1,IF($I151="IP",0.5,IF($I151="D",0.25,IF($I151="NA","",0))))</f>
        <v>0</v>
      </c>
      <c r="L151" s="11"/>
      <c r="M151" s="13" t="s">
        <v>84</v>
      </c>
      <c r="N151" s="11"/>
      <c r="O151" s="11" t="s">
        <v>291</v>
      </c>
      <c r="P151" s="12"/>
      <c r="Q151" s="11"/>
    </row>
    <row r="152" customFormat="false" ht="23.85" hidden="false" customHeight="false" outlineLevel="0" collapsed="false">
      <c r="A152" s="10" t="str">
        <f aca="false">B152&amp;"|"&amp;D152</f>
        <v>ZMB|M23</v>
      </c>
      <c r="B152" s="10" t="s">
        <v>96</v>
      </c>
      <c r="C152" s="10" t="s">
        <v>97</v>
      </c>
      <c r="D152" s="10" t="s">
        <v>229</v>
      </c>
      <c r="E152" s="10" t="s">
        <v>92</v>
      </c>
      <c r="F152" s="10" t="s">
        <v>230</v>
      </c>
      <c r="G152" s="12"/>
      <c r="H152" s="12"/>
      <c r="I152" s="13" t="s">
        <v>288</v>
      </c>
      <c r="J152" s="14" t="n">
        <f aca="false">IFERROR(INDEX(02_Milestone_Catalogue!$H$6:$H$36,MATCH($D152,02_Milestone_Catalogue!$A$6:$A$36,0)),1)</f>
        <v>1</v>
      </c>
      <c r="K152" s="15" t="n">
        <f aca="false">IF($I152="C",1,IF($I152="IP",0.5,IF($I152="D",0.25,IF($I152="NA","",0))))</f>
        <v>0</v>
      </c>
      <c r="L152" s="11"/>
      <c r="M152" s="13" t="s">
        <v>84</v>
      </c>
      <c r="N152" s="11"/>
      <c r="O152" s="11" t="s">
        <v>291</v>
      </c>
      <c r="P152" s="12"/>
      <c r="Q152" s="11"/>
    </row>
    <row r="153" customFormat="false" ht="23.85" hidden="false" customHeight="false" outlineLevel="0" collapsed="false">
      <c r="A153" s="10" t="str">
        <f aca="false">B153&amp;"|"&amp;D153</f>
        <v>ZMB|M24</v>
      </c>
      <c r="B153" s="10" t="s">
        <v>96</v>
      </c>
      <c r="C153" s="10" t="s">
        <v>97</v>
      </c>
      <c r="D153" s="10" t="s">
        <v>234</v>
      </c>
      <c r="E153" s="10" t="s">
        <v>92</v>
      </c>
      <c r="F153" s="10" t="s">
        <v>235</v>
      </c>
      <c r="G153" s="12"/>
      <c r="H153" s="12"/>
      <c r="I153" s="13" t="s">
        <v>288</v>
      </c>
      <c r="J153" s="14" t="n">
        <f aca="false">IFERROR(INDEX(02_Milestone_Catalogue!$H$6:$H$36,MATCH($D153,02_Milestone_Catalogue!$A$6:$A$36,0)),1)</f>
        <v>1</v>
      </c>
      <c r="K153" s="15" t="n">
        <f aca="false">IF($I153="C",1,IF($I153="IP",0.5,IF($I153="D",0.25,IF($I153="NA","",0))))</f>
        <v>0</v>
      </c>
      <c r="L153" s="11"/>
      <c r="M153" s="13" t="s">
        <v>84</v>
      </c>
      <c r="N153" s="11"/>
      <c r="O153" s="11" t="s">
        <v>291</v>
      </c>
      <c r="P153" s="12"/>
      <c r="Q153" s="11"/>
    </row>
    <row r="154" customFormat="false" ht="23.85" hidden="false" customHeight="false" outlineLevel="0" collapsed="false">
      <c r="A154" s="10" t="str">
        <f aca="false">B154&amp;"|"&amp;D154</f>
        <v>ZMB|M25</v>
      </c>
      <c r="B154" s="10" t="s">
        <v>96</v>
      </c>
      <c r="C154" s="10" t="s">
        <v>97</v>
      </c>
      <c r="D154" s="10" t="s">
        <v>239</v>
      </c>
      <c r="E154" s="10" t="s">
        <v>240</v>
      </c>
      <c r="F154" s="10" t="s">
        <v>241</v>
      </c>
      <c r="G154" s="12"/>
      <c r="H154" s="12"/>
      <c r="I154" s="13" t="s">
        <v>288</v>
      </c>
      <c r="J154" s="14" t="n">
        <f aca="false">IFERROR(INDEX(02_Milestone_Catalogue!$H$6:$H$36,MATCH($D154,02_Milestone_Catalogue!$A$6:$A$36,0)),1)</f>
        <v>1</v>
      </c>
      <c r="K154" s="15" t="n">
        <f aca="false">IF($I154="C",1,IF($I154="IP",0.5,IF($I154="D",0.25,IF($I154="NA","",0))))</f>
        <v>0</v>
      </c>
      <c r="L154" s="11"/>
      <c r="M154" s="13" t="s">
        <v>84</v>
      </c>
      <c r="N154" s="11"/>
      <c r="O154" s="11" t="s">
        <v>291</v>
      </c>
      <c r="P154" s="12"/>
      <c r="Q154" s="11"/>
    </row>
    <row r="155" customFormat="false" ht="23.85" hidden="false" customHeight="false" outlineLevel="0" collapsed="false">
      <c r="A155" s="10" t="str">
        <f aca="false">B155&amp;"|"&amp;D155</f>
        <v>ZMB|M26</v>
      </c>
      <c r="B155" s="10" t="s">
        <v>96</v>
      </c>
      <c r="C155" s="10" t="s">
        <v>97</v>
      </c>
      <c r="D155" s="10" t="s">
        <v>245</v>
      </c>
      <c r="E155" s="10" t="s">
        <v>240</v>
      </c>
      <c r="F155" s="10" t="s">
        <v>246</v>
      </c>
      <c r="G155" s="12"/>
      <c r="H155" s="12"/>
      <c r="I155" s="13" t="s">
        <v>288</v>
      </c>
      <c r="J155" s="14" t="n">
        <f aca="false">IFERROR(INDEX(02_Milestone_Catalogue!$H$6:$H$36,MATCH($D155,02_Milestone_Catalogue!$A$6:$A$36,0)),1)</f>
        <v>1</v>
      </c>
      <c r="K155" s="15" t="n">
        <f aca="false">IF($I155="C",1,IF($I155="IP",0.5,IF($I155="D",0.25,IF($I155="NA","",0))))</f>
        <v>0</v>
      </c>
      <c r="L155" s="11"/>
      <c r="M155" s="13" t="s">
        <v>84</v>
      </c>
      <c r="N155" s="11"/>
      <c r="O155" s="11" t="s">
        <v>291</v>
      </c>
      <c r="P155" s="12"/>
      <c r="Q155" s="11"/>
    </row>
    <row r="156" customFormat="false" ht="23.85" hidden="false" customHeight="false" outlineLevel="0" collapsed="false">
      <c r="A156" s="10" t="str">
        <f aca="false">B156&amp;"|"&amp;D156</f>
        <v>ZMB|M27</v>
      </c>
      <c r="B156" s="10" t="s">
        <v>96</v>
      </c>
      <c r="C156" s="10" t="s">
        <v>97</v>
      </c>
      <c r="D156" s="10" t="s">
        <v>249</v>
      </c>
      <c r="E156" s="10" t="s">
        <v>240</v>
      </c>
      <c r="F156" s="10" t="s">
        <v>250</v>
      </c>
      <c r="G156" s="12"/>
      <c r="H156" s="12"/>
      <c r="I156" s="13" t="s">
        <v>288</v>
      </c>
      <c r="J156" s="14" t="n">
        <f aca="false">IFERROR(INDEX(02_Milestone_Catalogue!$H$6:$H$36,MATCH($D156,02_Milestone_Catalogue!$A$6:$A$36,0)),1)</f>
        <v>1</v>
      </c>
      <c r="K156" s="15" t="n">
        <f aca="false">IF($I156="C",1,IF($I156="IP",0.5,IF($I156="D",0.25,IF($I156="NA","",0))))</f>
        <v>0</v>
      </c>
      <c r="L156" s="11"/>
      <c r="M156" s="13" t="s">
        <v>84</v>
      </c>
      <c r="N156" s="11"/>
      <c r="O156" s="11" t="s">
        <v>291</v>
      </c>
      <c r="P156" s="12"/>
      <c r="Q156" s="11"/>
    </row>
    <row r="157" customFormat="false" ht="23.85" hidden="false" customHeight="false" outlineLevel="0" collapsed="false">
      <c r="A157" s="10" t="str">
        <f aca="false">B157&amp;"|"&amp;D157</f>
        <v>ZMB|M28</v>
      </c>
      <c r="B157" s="10" t="s">
        <v>96</v>
      </c>
      <c r="C157" s="10" t="s">
        <v>97</v>
      </c>
      <c r="D157" s="10" t="s">
        <v>254</v>
      </c>
      <c r="E157" s="10" t="s">
        <v>240</v>
      </c>
      <c r="F157" s="10" t="s">
        <v>255</v>
      </c>
      <c r="G157" s="12"/>
      <c r="H157" s="12"/>
      <c r="I157" s="13" t="s">
        <v>288</v>
      </c>
      <c r="J157" s="14" t="n">
        <f aca="false">IFERROR(INDEX(02_Milestone_Catalogue!$H$6:$H$36,MATCH($D157,02_Milestone_Catalogue!$A$6:$A$36,0)),1)</f>
        <v>1</v>
      </c>
      <c r="K157" s="15" t="n">
        <f aca="false">IF($I157="C",1,IF($I157="IP",0.5,IF($I157="D",0.25,IF($I157="NA","",0))))</f>
        <v>0</v>
      </c>
      <c r="L157" s="11"/>
      <c r="M157" s="13" t="s">
        <v>84</v>
      </c>
      <c r="N157" s="11"/>
      <c r="O157" s="11" t="s">
        <v>291</v>
      </c>
      <c r="P157" s="12"/>
      <c r="Q157" s="11"/>
    </row>
    <row r="158" customFormat="false" ht="23.85" hidden="false" customHeight="false" outlineLevel="0" collapsed="false">
      <c r="A158" s="10" t="str">
        <f aca="false">B158&amp;"|"&amp;D158</f>
        <v>ZMB|M29</v>
      </c>
      <c r="B158" s="10" t="s">
        <v>96</v>
      </c>
      <c r="C158" s="10" t="s">
        <v>97</v>
      </c>
      <c r="D158" s="10" t="s">
        <v>258</v>
      </c>
      <c r="E158" s="10" t="s">
        <v>240</v>
      </c>
      <c r="F158" s="10" t="s">
        <v>259</v>
      </c>
      <c r="G158" s="12"/>
      <c r="H158" s="12"/>
      <c r="I158" s="13" t="s">
        <v>288</v>
      </c>
      <c r="J158" s="14" t="n">
        <f aca="false">IFERROR(INDEX(02_Milestone_Catalogue!$H$6:$H$36,MATCH($D158,02_Milestone_Catalogue!$A$6:$A$36,0)),1)</f>
        <v>1</v>
      </c>
      <c r="K158" s="15" t="n">
        <f aca="false">IF($I158="C",1,IF($I158="IP",0.5,IF($I158="D",0.25,IF($I158="NA","",0))))</f>
        <v>0</v>
      </c>
      <c r="L158" s="11"/>
      <c r="M158" s="13" t="s">
        <v>84</v>
      </c>
      <c r="N158" s="11"/>
      <c r="O158" s="11" t="s">
        <v>289</v>
      </c>
      <c r="P158" s="12"/>
      <c r="Q158" s="11"/>
    </row>
    <row r="159" customFormat="false" ht="23.85" hidden="false" customHeight="false" outlineLevel="0" collapsed="false">
      <c r="A159" s="10" t="str">
        <f aca="false">B159&amp;"|"&amp;D159</f>
        <v>ZMB|M30</v>
      </c>
      <c r="B159" s="10" t="s">
        <v>96</v>
      </c>
      <c r="C159" s="10" t="s">
        <v>97</v>
      </c>
      <c r="D159" s="10" t="s">
        <v>264</v>
      </c>
      <c r="E159" s="10" t="s">
        <v>240</v>
      </c>
      <c r="F159" s="10" t="s">
        <v>265</v>
      </c>
      <c r="G159" s="12"/>
      <c r="H159" s="12"/>
      <c r="I159" s="13" t="s">
        <v>288</v>
      </c>
      <c r="J159" s="14" t="n">
        <f aca="false">IFERROR(INDEX(02_Milestone_Catalogue!$H$6:$H$36,MATCH($D159,02_Milestone_Catalogue!$A$6:$A$36,0)),1)</f>
        <v>1</v>
      </c>
      <c r="K159" s="15" t="n">
        <f aca="false">IF($I159="C",1,IF($I159="IP",0.5,IF($I159="D",0.25,IF($I159="NA","",0))))</f>
        <v>0</v>
      </c>
      <c r="L159" s="11"/>
      <c r="M159" s="13" t="s">
        <v>84</v>
      </c>
      <c r="N159" s="11"/>
      <c r="O159" s="11" t="s">
        <v>289</v>
      </c>
      <c r="P159" s="12"/>
      <c r="Q159" s="11"/>
    </row>
    <row r="160" customFormat="false" ht="23.85" hidden="false" customHeight="false" outlineLevel="0" collapsed="false">
      <c r="A160" s="10" t="str">
        <f aca="false">B160&amp;"|"&amp;D160</f>
        <v>ZMB|M31</v>
      </c>
      <c r="B160" s="10" t="s">
        <v>96</v>
      </c>
      <c r="C160" s="10" t="s">
        <v>97</v>
      </c>
      <c r="D160" s="10" t="s">
        <v>269</v>
      </c>
      <c r="E160" s="10" t="s">
        <v>240</v>
      </c>
      <c r="F160" s="10" t="s">
        <v>270</v>
      </c>
      <c r="G160" s="12"/>
      <c r="H160" s="12"/>
      <c r="I160" s="13" t="s">
        <v>288</v>
      </c>
      <c r="J160" s="14" t="n">
        <f aca="false">IFERROR(INDEX(02_Milestone_Catalogue!$H$6:$H$36,MATCH($D160,02_Milestone_Catalogue!$A$6:$A$36,0)),1)</f>
        <v>1</v>
      </c>
      <c r="K160" s="15" t="n">
        <f aca="false">IF($I160="C",1,IF($I160="IP",0.5,IF($I160="D",0.25,IF($I160="NA","",0))))</f>
        <v>0</v>
      </c>
      <c r="L160" s="11"/>
      <c r="M160" s="13" t="s">
        <v>84</v>
      </c>
      <c r="N160" s="11"/>
      <c r="O160" s="11" t="s">
        <v>291</v>
      </c>
      <c r="P160" s="12"/>
      <c r="Q160" s="11"/>
    </row>
    <row r="161" customFormat="false" ht="23.85" hidden="false" customHeight="false" outlineLevel="0" collapsed="false">
      <c r="A161" s="10" t="str">
        <f aca="false">B161&amp;"|"&amp;D161</f>
        <v>GMB|M01</v>
      </c>
      <c r="B161" s="10" t="s">
        <v>99</v>
      </c>
      <c r="C161" s="10" t="s">
        <v>100</v>
      </c>
      <c r="D161" s="10" t="s">
        <v>114</v>
      </c>
      <c r="E161" s="10" t="s">
        <v>103</v>
      </c>
      <c r="F161" s="10" t="s">
        <v>115</v>
      </c>
      <c r="G161" s="12"/>
      <c r="H161" s="12"/>
      <c r="I161" s="13" t="s">
        <v>288</v>
      </c>
      <c r="J161" s="14" t="n">
        <f aca="false">IFERROR(INDEX(02_Milestone_Catalogue!$H$6:$H$36,MATCH($D161,02_Milestone_Catalogue!$A$6:$A$36,0)),1)</f>
        <v>1</v>
      </c>
      <c r="K161" s="15" t="n">
        <f aca="false">IF($I161="C",1,IF($I161="IP",0.5,IF($I161="D",0.25,IF($I161="NA","",0))))</f>
        <v>0</v>
      </c>
      <c r="L161" s="11"/>
      <c r="M161" s="13" t="s">
        <v>84</v>
      </c>
      <c r="N161" s="11"/>
      <c r="O161" s="11" t="s">
        <v>289</v>
      </c>
      <c r="P161" s="12"/>
      <c r="Q161" s="11"/>
    </row>
    <row r="162" customFormat="false" ht="23.85" hidden="false" customHeight="false" outlineLevel="0" collapsed="false">
      <c r="A162" s="10" t="str">
        <f aca="false">B162&amp;"|"&amp;D162</f>
        <v>GMB|M02</v>
      </c>
      <c r="B162" s="10" t="s">
        <v>99</v>
      </c>
      <c r="C162" s="10" t="s">
        <v>100</v>
      </c>
      <c r="D162" s="10" t="s">
        <v>120</v>
      </c>
      <c r="E162" s="10" t="s">
        <v>103</v>
      </c>
      <c r="F162" s="10" t="s">
        <v>121</v>
      </c>
      <c r="G162" s="12"/>
      <c r="H162" s="12"/>
      <c r="I162" s="13" t="s">
        <v>290</v>
      </c>
      <c r="J162" s="14" t="n">
        <f aca="false">IFERROR(INDEX(02_Milestone_Catalogue!$H$6:$H$36,MATCH($D162,02_Milestone_Catalogue!$A$6:$A$36,0)),1)</f>
        <v>1</v>
      </c>
      <c r="K162" s="15" t="n">
        <f aca="false">IF($I162="C",1,IF($I162="IP",0.5,IF($I162="D",0.25,IF($I162="NA","",0))))</f>
        <v>1</v>
      </c>
      <c r="L162" s="11"/>
      <c r="M162" s="13" t="s">
        <v>84</v>
      </c>
      <c r="N162" s="11"/>
      <c r="O162" s="11" t="s">
        <v>291</v>
      </c>
      <c r="P162" s="12"/>
      <c r="Q162" s="11"/>
    </row>
    <row r="163" customFormat="false" ht="23.85" hidden="false" customHeight="false" outlineLevel="0" collapsed="false">
      <c r="A163" s="10" t="str">
        <f aca="false">B163&amp;"|"&amp;D163</f>
        <v>GMB|M03</v>
      </c>
      <c r="B163" s="10" t="s">
        <v>99</v>
      </c>
      <c r="C163" s="10" t="s">
        <v>100</v>
      </c>
      <c r="D163" s="10" t="s">
        <v>125</v>
      </c>
      <c r="E163" s="10" t="s">
        <v>103</v>
      </c>
      <c r="F163" s="10" t="s">
        <v>126</v>
      </c>
      <c r="G163" s="12"/>
      <c r="H163" s="12"/>
      <c r="I163" s="13" t="s">
        <v>290</v>
      </c>
      <c r="J163" s="14" t="n">
        <f aca="false">IFERROR(INDEX(02_Milestone_Catalogue!$H$6:$H$36,MATCH($D163,02_Milestone_Catalogue!$A$6:$A$36,0)),1)</f>
        <v>1</v>
      </c>
      <c r="K163" s="15" t="n">
        <f aca="false">IF($I163="C",1,IF($I163="IP",0.5,IF($I163="D",0.25,IF($I163="NA","",0))))</f>
        <v>1</v>
      </c>
      <c r="L163" s="11"/>
      <c r="M163" s="13" t="s">
        <v>84</v>
      </c>
      <c r="N163" s="11"/>
      <c r="O163" s="11" t="s">
        <v>291</v>
      </c>
      <c r="P163" s="12"/>
      <c r="Q163" s="11"/>
    </row>
    <row r="164" customFormat="false" ht="23.85" hidden="false" customHeight="false" outlineLevel="0" collapsed="false">
      <c r="A164" s="10" t="str">
        <f aca="false">B164&amp;"|"&amp;D164</f>
        <v>GMB|M04</v>
      </c>
      <c r="B164" s="10" t="s">
        <v>99</v>
      </c>
      <c r="C164" s="10" t="s">
        <v>100</v>
      </c>
      <c r="D164" s="10" t="s">
        <v>131</v>
      </c>
      <c r="E164" s="10" t="s">
        <v>103</v>
      </c>
      <c r="F164" s="10" t="s">
        <v>132</v>
      </c>
      <c r="G164" s="12"/>
      <c r="H164" s="12"/>
      <c r="I164" s="13" t="s">
        <v>288</v>
      </c>
      <c r="J164" s="14" t="n">
        <f aca="false">IFERROR(INDEX(02_Milestone_Catalogue!$H$6:$H$36,MATCH($D164,02_Milestone_Catalogue!$A$6:$A$36,0)),1)</f>
        <v>1</v>
      </c>
      <c r="K164" s="15" t="n">
        <f aca="false">IF($I164="C",1,IF($I164="IP",0.5,IF($I164="D",0.25,IF($I164="NA","",0))))</f>
        <v>0</v>
      </c>
      <c r="L164" s="11"/>
      <c r="M164" s="13" t="s">
        <v>84</v>
      </c>
      <c r="N164" s="11"/>
      <c r="O164" s="11" t="s">
        <v>289</v>
      </c>
      <c r="P164" s="12"/>
      <c r="Q164" s="11"/>
    </row>
    <row r="165" customFormat="false" ht="23.85" hidden="false" customHeight="false" outlineLevel="0" collapsed="false">
      <c r="A165" s="10" t="str">
        <f aca="false">B165&amp;"|"&amp;D165</f>
        <v>GMB|M05</v>
      </c>
      <c r="B165" s="10" t="s">
        <v>99</v>
      </c>
      <c r="C165" s="10" t="s">
        <v>100</v>
      </c>
      <c r="D165" s="10" t="s">
        <v>135</v>
      </c>
      <c r="E165" s="10" t="s">
        <v>103</v>
      </c>
      <c r="F165" s="10" t="s">
        <v>136</v>
      </c>
      <c r="G165" s="12"/>
      <c r="H165" s="12"/>
      <c r="I165" s="13" t="s">
        <v>288</v>
      </c>
      <c r="J165" s="14" t="n">
        <f aca="false">IFERROR(INDEX(02_Milestone_Catalogue!$H$6:$H$36,MATCH($D165,02_Milestone_Catalogue!$A$6:$A$36,0)),1)</f>
        <v>1</v>
      </c>
      <c r="K165" s="15" t="n">
        <f aca="false">IF($I165="C",1,IF($I165="IP",0.5,IF($I165="D",0.25,IF($I165="NA","",0))))</f>
        <v>0</v>
      </c>
      <c r="L165" s="11"/>
      <c r="M165" s="13" t="s">
        <v>84</v>
      </c>
      <c r="N165" s="11"/>
      <c r="O165" s="11" t="s">
        <v>289</v>
      </c>
      <c r="P165" s="12"/>
      <c r="Q165" s="11"/>
    </row>
    <row r="166" customFormat="false" ht="23.85" hidden="false" customHeight="false" outlineLevel="0" collapsed="false">
      <c r="A166" s="10" t="str">
        <f aca="false">B166&amp;"|"&amp;D166</f>
        <v>GMB|M06</v>
      </c>
      <c r="B166" s="10" t="s">
        <v>99</v>
      </c>
      <c r="C166" s="10" t="s">
        <v>100</v>
      </c>
      <c r="D166" s="10" t="s">
        <v>141</v>
      </c>
      <c r="E166" s="10" t="s">
        <v>103</v>
      </c>
      <c r="F166" s="10" t="s">
        <v>142</v>
      </c>
      <c r="G166" s="12"/>
      <c r="H166" s="12"/>
      <c r="I166" s="13" t="s">
        <v>288</v>
      </c>
      <c r="J166" s="14" t="n">
        <f aca="false">IFERROR(INDEX(02_Milestone_Catalogue!$H$6:$H$36,MATCH($D166,02_Milestone_Catalogue!$A$6:$A$36,0)),1)</f>
        <v>1</v>
      </c>
      <c r="K166" s="15" t="n">
        <f aca="false">IF($I166="C",1,IF($I166="IP",0.5,IF($I166="D",0.25,IF($I166="NA","",0))))</f>
        <v>0</v>
      </c>
      <c r="L166" s="11"/>
      <c r="M166" s="13" t="s">
        <v>84</v>
      </c>
      <c r="N166" s="11"/>
      <c r="O166" s="11" t="s">
        <v>289</v>
      </c>
      <c r="P166" s="12"/>
      <c r="Q166" s="11"/>
    </row>
    <row r="167" customFormat="false" ht="23.85" hidden="false" customHeight="false" outlineLevel="0" collapsed="false">
      <c r="A167" s="10" t="str">
        <f aca="false">B167&amp;"|"&amp;D167</f>
        <v>GMB|M07</v>
      </c>
      <c r="B167" s="10" t="s">
        <v>99</v>
      </c>
      <c r="C167" s="10" t="s">
        <v>100</v>
      </c>
      <c r="D167" s="10" t="s">
        <v>146</v>
      </c>
      <c r="E167" s="10" t="s">
        <v>88</v>
      </c>
      <c r="F167" s="10" t="s">
        <v>147</v>
      </c>
      <c r="G167" s="12"/>
      <c r="H167" s="12"/>
      <c r="I167" s="13" t="s">
        <v>292</v>
      </c>
      <c r="J167" s="14" t="n">
        <f aca="false">IFERROR(INDEX(02_Milestone_Catalogue!$H$6:$H$36,MATCH($D167,02_Milestone_Catalogue!$A$6:$A$36,0)),1)</f>
        <v>1</v>
      </c>
      <c r="K167" s="15" t="n">
        <f aca="false">IF($I167="C",1,IF($I167="IP",0.5,IF($I167="D",0.25,IF($I167="NA","",0))))</f>
        <v>0.5</v>
      </c>
      <c r="L167" s="11"/>
      <c r="M167" s="13" t="s">
        <v>84</v>
      </c>
      <c r="N167" s="11"/>
      <c r="O167" s="11" t="s">
        <v>291</v>
      </c>
      <c r="P167" s="12"/>
      <c r="Q167" s="11"/>
    </row>
    <row r="168" customFormat="false" ht="23.85" hidden="false" customHeight="false" outlineLevel="0" collapsed="false">
      <c r="A168" s="10" t="str">
        <f aca="false">B168&amp;"|"&amp;D168</f>
        <v>GMB|M08</v>
      </c>
      <c r="B168" s="10" t="s">
        <v>99</v>
      </c>
      <c r="C168" s="10" t="s">
        <v>100</v>
      </c>
      <c r="D168" s="10" t="s">
        <v>152</v>
      </c>
      <c r="E168" s="10" t="s">
        <v>88</v>
      </c>
      <c r="F168" s="10" t="s">
        <v>153</v>
      </c>
      <c r="G168" s="12"/>
      <c r="H168" s="12"/>
      <c r="I168" s="13" t="s">
        <v>288</v>
      </c>
      <c r="J168" s="14" t="n">
        <f aca="false">IFERROR(INDEX(02_Milestone_Catalogue!$H$6:$H$36,MATCH($D168,02_Milestone_Catalogue!$A$6:$A$36,0)),1)</f>
        <v>1</v>
      </c>
      <c r="K168" s="15" t="n">
        <f aca="false">IF($I168="C",1,IF($I168="IP",0.5,IF($I168="D",0.25,IF($I168="NA","",0))))</f>
        <v>0</v>
      </c>
      <c r="L168" s="11"/>
      <c r="M168" s="13" t="s">
        <v>84</v>
      </c>
      <c r="N168" s="11"/>
      <c r="O168" s="11" t="s">
        <v>291</v>
      </c>
      <c r="P168" s="12"/>
      <c r="Q168" s="11"/>
    </row>
    <row r="169" customFormat="false" ht="23.85" hidden="false" customHeight="false" outlineLevel="0" collapsed="false">
      <c r="A169" s="10" t="str">
        <f aca="false">B169&amp;"|"&amp;D169</f>
        <v>GMB|M09</v>
      </c>
      <c r="B169" s="10" t="s">
        <v>99</v>
      </c>
      <c r="C169" s="10" t="s">
        <v>100</v>
      </c>
      <c r="D169" s="10" t="s">
        <v>158</v>
      </c>
      <c r="E169" s="10" t="s">
        <v>88</v>
      </c>
      <c r="F169" s="10" t="s">
        <v>159</v>
      </c>
      <c r="G169" s="12"/>
      <c r="H169" s="12"/>
      <c r="I169" s="13" t="s">
        <v>288</v>
      </c>
      <c r="J169" s="14" t="n">
        <f aca="false">IFERROR(INDEX(02_Milestone_Catalogue!$H$6:$H$36,MATCH($D169,02_Milestone_Catalogue!$A$6:$A$36,0)),1)</f>
        <v>1</v>
      </c>
      <c r="K169" s="15" t="n">
        <f aca="false">IF($I169="C",1,IF($I169="IP",0.5,IF($I169="D",0.25,IF($I169="NA","",0))))</f>
        <v>0</v>
      </c>
      <c r="L169" s="11"/>
      <c r="M169" s="13" t="s">
        <v>84</v>
      </c>
      <c r="N169" s="11"/>
      <c r="O169" s="11" t="s">
        <v>289</v>
      </c>
      <c r="P169" s="12"/>
      <c r="Q169" s="11"/>
    </row>
    <row r="170" customFormat="false" ht="23.85" hidden="false" customHeight="false" outlineLevel="0" collapsed="false">
      <c r="A170" s="10" t="str">
        <f aca="false">B170&amp;"|"&amp;D170</f>
        <v>GMB|M10</v>
      </c>
      <c r="B170" s="10" t="s">
        <v>99</v>
      </c>
      <c r="C170" s="10" t="s">
        <v>100</v>
      </c>
      <c r="D170" s="10" t="s">
        <v>163</v>
      </c>
      <c r="E170" s="10" t="s">
        <v>88</v>
      </c>
      <c r="F170" s="10" t="s">
        <v>164</v>
      </c>
      <c r="G170" s="12"/>
      <c r="H170" s="12"/>
      <c r="I170" s="13" t="s">
        <v>288</v>
      </c>
      <c r="J170" s="14" t="n">
        <f aca="false">IFERROR(INDEX(02_Milestone_Catalogue!$H$6:$H$36,MATCH($D170,02_Milestone_Catalogue!$A$6:$A$36,0)),1)</f>
        <v>1</v>
      </c>
      <c r="K170" s="15" t="n">
        <f aca="false">IF($I170="C",1,IF($I170="IP",0.5,IF($I170="D",0.25,IF($I170="NA","",0))))</f>
        <v>0</v>
      </c>
      <c r="L170" s="11"/>
      <c r="M170" s="13" t="s">
        <v>84</v>
      </c>
      <c r="N170" s="11"/>
      <c r="O170" s="11" t="s">
        <v>289</v>
      </c>
      <c r="P170" s="12"/>
      <c r="Q170" s="11"/>
    </row>
    <row r="171" customFormat="false" ht="23.85" hidden="false" customHeight="false" outlineLevel="0" collapsed="false">
      <c r="A171" s="10" t="str">
        <f aca="false">B171&amp;"|"&amp;D171</f>
        <v>GMB|M11</v>
      </c>
      <c r="B171" s="10" t="s">
        <v>99</v>
      </c>
      <c r="C171" s="10" t="s">
        <v>100</v>
      </c>
      <c r="D171" s="10" t="s">
        <v>168</v>
      </c>
      <c r="E171" s="10" t="s">
        <v>88</v>
      </c>
      <c r="F171" s="10" t="s">
        <v>169</v>
      </c>
      <c r="G171" s="12"/>
      <c r="H171" s="12"/>
      <c r="I171" s="13" t="s">
        <v>288</v>
      </c>
      <c r="J171" s="14" t="n">
        <f aca="false">IFERROR(INDEX(02_Milestone_Catalogue!$H$6:$H$36,MATCH($D171,02_Milestone_Catalogue!$A$6:$A$36,0)),1)</f>
        <v>1</v>
      </c>
      <c r="K171" s="15" t="n">
        <f aca="false">IF($I171="C",1,IF($I171="IP",0.5,IF($I171="D",0.25,IF($I171="NA","",0))))</f>
        <v>0</v>
      </c>
      <c r="L171" s="11"/>
      <c r="M171" s="13" t="s">
        <v>84</v>
      </c>
      <c r="N171" s="11"/>
      <c r="O171" s="11" t="s">
        <v>289</v>
      </c>
      <c r="P171" s="12"/>
      <c r="Q171" s="11"/>
    </row>
    <row r="172" customFormat="false" ht="23.85" hidden="false" customHeight="false" outlineLevel="0" collapsed="false">
      <c r="A172" s="10" t="str">
        <f aca="false">B172&amp;"|"&amp;D172</f>
        <v>GMB|M12</v>
      </c>
      <c r="B172" s="10" t="s">
        <v>99</v>
      </c>
      <c r="C172" s="10" t="s">
        <v>100</v>
      </c>
      <c r="D172" s="10" t="s">
        <v>173</v>
      </c>
      <c r="E172" s="10" t="s">
        <v>88</v>
      </c>
      <c r="F172" s="10" t="s">
        <v>174</v>
      </c>
      <c r="G172" s="12"/>
      <c r="H172" s="12"/>
      <c r="I172" s="13" t="s">
        <v>288</v>
      </c>
      <c r="J172" s="14" t="n">
        <f aca="false">IFERROR(INDEX(02_Milestone_Catalogue!$H$6:$H$36,MATCH($D172,02_Milestone_Catalogue!$A$6:$A$36,0)),1)</f>
        <v>1</v>
      </c>
      <c r="K172" s="15" t="n">
        <f aca="false">IF($I172="C",1,IF($I172="IP",0.5,IF($I172="D",0.25,IF($I172="NA","",0))))</f>
        <v>0</v>
      </c>
      <c r="L172" s="11"/>
      <c r="M172" s="13" t="s">
        <v>84</v>
      </c>
      <c r="N172" s="11"/>
      <c r="O172" s="11" t="s">
        <v>289</v>
      </c>
      <c r="P172" s="12"/>
      <c r="Q172" s="11"/>
    </row>
    <row r="173" customFormat="false" ht="23.85" hidden="false" customHeight="false" outlineLevel="0" collapsed="false">
      <c r="A173" s="10" t="str">
        <f aca="false">B173&amp;"|"&amp;D173</f>
        <v>GMB|M13</v>
      </c>
      <c r="B173" s="10" t="s">
        <v>99</v>
      </c>
      <c r="C173" s="10" t="s">
        <v>100</v>
      </c>
      <c r="D173" s="10" t="s">
        <v>178</v>
      </c>
      <c r="E173" s="10" t="s">
        <v>88</v>
      </c>
      <c r="F173" s="10" t="s">
        <v>179</v>
      </c>
      <c r="G173" s="12"/>
      <c r="H173" s="12"/>
      <c r="I173" s="13" t="s">
        <v>288</v>
      </c>
      <c r="J173" s="14" t="n">
        <f aca="false">IFERROR(INDEX(02_Milestone_Catalogue!$H$6:$H$36,MATCH($D173,02_Milestone_Catalogue!$A$6:$A$36,0)),1)</f>
        <v>1</v>
      </c>
      <c r="K173" s="15" t="n">
        <f aca="false">IF($I173="C",1,IF($I173="IP",0.5,IF($I173="D",0.25,IF($I173="NA","",0))))</f>
        <v>0</v>
      </c>
      <c r="L173" s="11"/>
      <c r="M173" s="13" t="s">
        <v>84</v>
      </c>
      <c r="N173" s="11"/>
      <c r="O173" s="11" t="s">
        <v>291</v>
      </c>
      <c r="P173" s="12"/>
      <c r="Q173" s="11"/>
    </row>
    <row r="174" customFormat="false" ht="15" hidden="false" customHeight="false" outlineLevel="0" collapsed="false">
      <c r="A174" s="10" t="str">
        <f aca="false">B174&amp;"|"&amp;D174</f>
        <v>GMB|M14</v>
      </c>
      <c r="B174" s="10" t="s">
        <v>99</v>
      </c>
      <c r="C174" s="10" t="s">
        <v>100</v>
      </c>
      <c r="D174" s="10" t="s">
        <v>183</v>
      </c>
      <c r="E174" s="10" t="s">
        <v>88</v>
      </c>
      <c r="F174" s="10" t="s">
        <v>184</v>
      </c>
      <c r="G174" s="12"/>
      <c r="H174" s="12"/>
      <c r="I174" s="13" t="s">
        <v>288</v>
      </c>
      <c r="J174" s="14" t="n">
        <f aca="false">IFERROR(INDEX(02_Milestone_Catalogue!$H$6:$H$36,MATCH($D174,02_Milestone_Catalogue!$A$6:$A$36,0)),1)</f>
        <v>1</v>
      </c>
      <c r="K174" s="15" t="n">
        <f aca="false">IF($I174="C",1,IF($I174="IP",0.5,IF($I174="D",0.25,IF($I174="NA","",0))))</f>
        <v>0</v>
      </c>
      <c r="L174" s="11"/>
      <c r="M174" s="13" t="s">
        <v>84</v>
      </c>
      <c r="N174" s="11"/>
      <c r="O174" s="11" t="s">
        <v>291</v>
      </c>
      <c r="P174" s="12"/>
      <c r="Q174" s="11"/>
    </row>
    <row r="175" customFormat="false" ht="15" hidden="false" customHeight="false" outlineLevel="0" collapsed="false">
      <c r="A175" s="10" t="str">
        <f aca="false">B175&amp;"|"&amp;D175</f>
        <v>GMB|M15</v>
      </c>
      <c r="B175" s="10" t="s">
        <v>99</v>
      </c>
      <c r="C175" s="10" t="s">
        <v>100</v>
      </c>
      <c r="D175" s="10" t="s">
        <v>188</v>
      </c>
      <c r="E175" s="10" t="s">
        <v>88</v>
      </c>
      <c r="F175" s="10" t="s">
        <v>189</v>
      </c>
      <c r="G175" s="12"/>
      <c r="H175" s="12"/>
      <c r="I175" s="13" t="s">
        <v>288</v>
      </c>
      <c r="J175" s="14" t="n">
        <f aca="false">IFERROR(INDEX(02_Milestone_Catalogue!$H$6:$H$36,MATCH($D175,02_Milestone_Catalogue!$A$6:$A$36,0)),1)</f>
        <v>1</v>
      </c>
      <c r="K175" s="15" t="n">
        <f aca="false">IF($I175="C",1,IF($I175="IP",0.5,IF($I175="D",0.25,IF($I175="NA","",0))))</f>
        <v>0</v>
      </c>
      <c r="L175" s="11"/>
      <c r="M175" s="13" t="s">
        <v>84</v>
      </c>
      <c r="N175" s="11"/>
      <c r="O175" s="11" t="s">
        <v>291</v>
      </c>
      <c r="P175" s="12"/>
      <c r="Q175" s="11"/>
    </row>
    <row r="176" customFormat="false" ht="15" hidden="false" customHeight="false" outlineLevel="0" collapsed="false">
      <c r="A176" s="10" t="str">
        <f aca="false">B176&amp;"|"&amp;D176</f>
        <v>GMB|M16</v>
      </c>
      <c r="B176" s="10" t="s">
        <v>99</v>
      </c>
      <c r="C176" s="10" t="s">
        <v>100</v>
      </c>
      <c r="D176" s="10" t="s">
        <v>193</v>
      </c>
      <c r="E176" s="10" t="s">
        <v>83</v>
      </c>
      <c r="F176" s="10" t="s">
        <v>194</v>
      </c>
      <c r="G176" s="12"/>
      <c r="H176" s="12"/>
      <c r="I176" s="13" t="s">
        <v>288</v>
      </c>
      <c r="J176" s="14" t="n">
        <f aca="false">IFERROR(INDEX(02_Milestone_Catalogue!$H$6:$H$36,MATCH($D176,02_Milestone_Catalogue!$A$6:$A$36,0)),1)</f>
        <v>1</v>
      </c>
      <c r="K176" s="15" t="n">
        <f aca="false">IF($I176="C",1,IF($I176="IP",0.5,IF($I176="D",0.25,IF($I176="NA","",0))))</f>
        <v>0</v>
      </c>
      <c r="L176" s="11"/>
      <c r="M176" s="13" t="s">
        <v>84</v>
      </c>
      <c r="N176" s="11"/>
      <c r="O176" s="11" t="s">
        <v>291</v>
      </c>
      <c r="P176" s="12"/>
      <c r="Q176" s="11"/>
    </row>
    <row r="177" customFormat="false" ht="23.85" hidden="false" customHeight="false" outlineLevel="0" collapsed="false">
      <c r="A177" s="10" t="str">
        <f aca="false">B177&amp;"|"&amp;D177</f>
        <v>GMB|M17</v>
      </c>
      <c r="B177" s="10" t="s">
        <v>99</v>
      </c>
      <c r="C177" s="10" t="s">
        <v>100</v>
      </c>
      <c r="D177" s="10" t="s">
        <v>199</v>
      </c>
      <c r="E177" s="10" t="s">
        <v>83</v>
      </c>
      <c r="F177" s="10" t="s">
        <v>200</v>
      </c>
      <c r="G177" s="12"/>
      <c r="H177" s="12"/>
      <c r="I177" s="13" t="s">
        <v>288</v>
      </c>
      <c r="J177" s="14" t="n">
        <f aca="false">IFERROR(INDEX(02_Milestone_Catalogue!$H$6:$H$36,MATCH($D177,02_Milestone_Catalogue!$A$6:$A$36,0)),1)</f>
        <v>1</v>
      </c>
      <c r="K177" s="15" t="n">
        <f aca="false">IF($I177="C",1,IF($I177="IP",0.5,IF($I177="D",0.25,IF($I177="NA","",0))))</f>
        <v>0</v>
      </c>
      <c r="L177" s="11"/>
      <c r="M177" s="13" t="s">
        <v>84</v>
      </c>
      <c r="N177" s="11"/>
      <c r="O177" s="11" t="s">
        <v>289</v>
      </c>
      <c r="P177" s="12"/>
      <c r="Q177" s="11"/>
    </row>
    <row r="178" customFormat="false" ht="23.85" hidden="false" customHeight="false" outlineLevel="0" collapsed="false">
      <c r="A178" s="10" t="str">
        <f aca="false">B178&amp;"|"&amp;D178</f>
        <v>GMB|M18</v>
      </c>
      <c r="B178" s="10" t="s">
        <v>99</v>
      </c>
      <c r="C178" s="10" t="s">
        <v>100</v>
      </c>
      <c r="D178" s="10" t="s">
        <v>204</v>
      </c>
      <c r="E178" s="10" t="s">
        <v>83</v>
      </c>
      <c r="F178" s="10" t="s">
        <v>205</v>
      </c>
      <c r="G178" s="12"/>
      <c r="H178" s="12"/>
      <c r="I178" s="13" t="s">
        <v>288</v>
      </c>
      <c r="J178" s="14" t="n">
        <f aca="false">IFERROR(INDEX(02_Milestone_Catalogue!$H$6:$H$36,MATCH($D178,02_Milestone_Catalogue!$A$6:$A$36,0)),1)</f>
        <v>1</v>
      </c>
      <c r="K178" s="15" t="n">
        <f aca="false">IF($I178="C",1,IF($I178="IP",0.5,IF($I178="D",0.25,IF($I178="NA","",0))))</f>
        <v>0</v>
      </c>
      <c r="L178" s="11"/>
      <c r="M178" s="13" t="s">
        <v>84</v>
      </c>
      <c r="N178" s="11"/>
      <c r="O178" s="11" t="s">
        <v>291</v>
      </c>
      <c r="P178" s="12"/>
      <c r="Q178" s="11"/>
    </row>
    <row r="179" customFormat="false" ht="23.85" hidden="false" customHeight="false" outlineLevel="0" collapsed="false">
      <c r="A179" s="10" t="str">
        <f aca="false">B179&amp;"|"&amp;D179</f>
        <v>GMB|M19</v>
      </c>
      <c r="B179" s="10" t="s">
        <v>99</v>
      </c>
      <c r="C179" s="10" t="s">
        <v>100</v>
      </c>
      <c r="D179" s="10" t="s">
        <v>208</v>
      </c>
      <c r="E179" s="10" t="s">
        <v>83</v>
      </c>
      <c r="F179" s="10" t="s">
        <v>209</v>
      </c>
      <c r="G179" s="12"/>
      <c r="H179" s="12"/>
      <c r="I179" s="13" t="s">
        <v>288</v>
      </c>
      <c r="J179" s="14" t="n">
        <f aca="false">IFERROR(INDEX(02_Milestone_Catalogue!$H$6:$H$36,MATCH($D179,02_Milestone_Catalogue!$A$6:$A$36,0)),1)</f>
        <v>1</v>
      </c>
      <c r="K179" s="15" t="n">
        <f aca="false">IF($I179="C",1,IF($I179="IP",0.5,IF($I179="D",0.25,IF($I179="NA","",0))))</f>
        <v>0</v>
      </c>
      <c r="L179" s="11"/>
      <c r="M179" s="13" t="s">
        <v>84</v>
      </c>
      <c r="N179" s="11"/>
      <c r="O179" s="11" t="s">
        <v>289</v>
      </c>
      <c r="P179" s="12"/>
      <c r="Q179" s="11"/>
    </row>
    <row r="180" customFormat="false" ht="23.85" hidden="false" customHeight="false" outlineLevel="0" collapsed="false">
      <c r="A180" s="10" t="str">
        <f aca="false">B180&amp;"|"&amp;D180</f>
        <v>GMB|M20</v>
      </c>
      <c r="B180" s="10" t="s">
        <v>99</v>
      </c>
      <c r="C180" s="10" t="s">
        <v>100</v>
      </c>
      <c r="D180" s="10" t="s">
        <v>213</v>
      </c>
      <c r="E180" s="10" t="s">
        <v>83</v>
      </c>
      <c r="F180" s="10" t="s">
        <v>214</v>
      </c>
      <c r="G180" s="12"/>
      <c r="H180" s="12"/>
      <c r="I180" s="13" t="s">
        <v>288</v>
      </c>
      <c r="J180" s="14" t="n">
        <f aca="false">IFERROR(INDEX(02_Milestone_Catalogue!$H$6:$H$36,MATCH($D180,02_Milestone_Catalogue!$A$6:$A$36,0)),1)</f>
        <v>1</v>
      </c>
      <c r="K180" s="15" t="n">
        <f aca="false">IF($I180="C",1,IF($I180="IP",0.5,IF($I180="D",0.25,IF($I180="NA","",0))))</f>
        <v>0</v>
      </c>
      <c r="L180" s="11"/>
      <c r="M180" s="13" t="s">
        <v>84</v>
      </c>
      <c r="N180" s="11"/>
      <c r="O180" s="11" t="s">
        <v>289</v>
      </c>
      <c r="P180" s="12"/>
      <c r="Q180" s="11"/>
    </row>
    <row r="181" customFormat="false" ht="23.85" hidden="false" customHeight="false" outlineLevel="0" collapsed="false">
      <c r="A181" s="10" t="str">
        <f aca="false">B181&amp;"|"&amp;D181</f>
        <v>GMB|M21</v>
      </c>
      <c r="B181" s="10" t="s">
        <v>99</v>
      </c>
      <c r="C181" s="10" t="s">
        <v>100</v>
      </c>
      <c r="D181" s="10" t="s">
        <v>218</v>
      </c>
      <c r="E181" s="10" t="s">
        <v>92</v>
      </c>
      <c r="F181" s="10" t="s">
        <v>219</v>
      </c>
      <c r="G181" s="12"/>
      <c r="H181" s="12"/>
      <c r="I181" s="13" t="s">
        <v>288</v>
      </c>
      <c r="J181" s="14" t="n">
        <f aca="false">IFERROR(INDEX(02_Milestone_Catalogue!$H$6:$H$36,MATCH($D181,02_Milestone_Catalogue!$A$6:$A$36,0)),1)</f>
        <v>1</v>
      </c>
      <c r="K181" s="15" t="n">
        <f aca="false">IF($I181="C",1,IF($I181="IP",0.5,IF($I181="D",0.25,IF($I181="NA","",0))))</f>
        <v>0</v>
      </c>
      <c r="L181" s="11"/>
      <c r="M181" s="13" t="s">
        <v>84</v>
      </c>
      <c r="N181" s="11"/>
      <c r="O181" s="11" t="s">
        <v>291</v>
      </c>
      <c r="P181" s="12"/>
      <c r="Q181" s="11"/>
    </row>
    <row r="182" customFormat="false" ht="23.85" hidden="false" customHeight="false" outlineLevel="0" collapsed="false">
      <c r="A182" s="10" t="str">
        <f aca="false">B182&amp;"|"&amp;D182</f>
        <v>GMB|M22</v>
      </c>
      <c r="B182" s="10" t="s">
        <v>99</v>
      </c>
      <c r="C182" s="10" t="s">
        <v>100</v>
      </c>
      <c r="D182" s="10" t="s">
        <v>224</v>
      </c>
      <c r="E182" s="10" t="s">
        <v>92</v>
      </c>
      <c r="F182" s="10" t="s">
        <v>225</v>
      </c>
      <c r="G182" s="12"/>
      <c r="H182" s="12"/>
      <c r="I182" s="13" t="s">
        <v>288</v>
      </c>
      <c r="J182" s="14" t="n">
        <f aca="false">IFERROR(INDEX(02_Milestone_Catalogue!$H$6:$H$36,MATCH($D182,02_Milestone_Catalogue!$A$6:$A$36,0)),1)</f>
        <v>1</v>
      </c>
      <c r="K182" s="15" t="n">
        <f aca="false">IF($I182="C",1,IF($I182="IP",0.5,IF($I182="D",0.25,IF($I182="NA","",0))))</f>
        <v>0</v>
      </c>
      <c r="L182" s="11"/>
      <c r="M182" s="13" t="s">
        <v>84</v>
      </c>
      <c r="N182" s="11"/>
      <c r="O182" s="11" t="s">
        <v>291</v>
      </c>
      <c r="P182" s="12"/>
      <c r="Q182" s="11"/>
    </row>
    <row r="183" customFormat="false" ht="23.85" hidden="false" customHeight="false" outlineLevel="0" collapsed="false">
      <c r="A183" s="10" t="str">
        <f aca="false">B183&amp;"|"&amp;D183</f>
        <v>GMB|M23</v>
      </c>
      <c r="B183" s="10" t="s">
        <v>99</v>
      </c>
      <c r="C183" s="10" t="s">
        <v>100</v>
      </c>
      <c r="D183" s="10" t="s">
        <v>229</v>
      </c>
      <c r="E183" s="10" t="s">
        <v>92</v>
      </c>
      <c r="F183" s="10" t="s">
        <v>230</v>
      </c>
      <c r="G183" s="12"/>
      <c r="H183" s="12"/>
      <c r="I183" s="13" t="s">
        <v>288</v>
      </c>
      <c r="J183" s="14" t="n">
        <f aca="false">IFERROR(INDEX(02_Milestone_Catalogue!$H$6:$H$36,MATCH($D183,02_Milestone_Catalogue!$A$6:$A$36,0)),1)</f>
        <v>1</v>
      </c>
      <c r="K183" s="15" t="n">
        <f aca="false">IF($I183="C",1,IF($I183="IP",0.5,IF($I183="D",0.25,IF($I183="NA","",0))))</f>
        <v>0</v>
      </c>
      <c r="L183" s="11"/>
      <c r="M183" s="13" t="s">
        <v>84</v>
      </c>
      <c r="N183" s="11"/>
      <c r="O183" s="11" t="s">
        <v>291</v>
      </c>
      <c r="P183" s="12"/>
      <c r="Q183" s="11"/>
    </row>
    <row r="184" customFormat="false" ht="23.85" hidden="false" customHeight="false" outlineLevel="0" collapsed="false">
      <c r="A184" s="10" t="str">
        <f aca="false">B184&amp;"|"&amp;D184</f>
        <v>GMB|M24</v>
      </c>
      <c r="B184" s="10" t="s">
        <v>99</v>
      </c>
      <c r="C184" s="10" t="s">
        <v>100</v>
      </c>
      <c r="D184" s="10" t="s">
        <v>234</v>
      </c>
      <c r="E184" s="10" t="s">
        <v>92</v>
      </c>
      <c r="F184" s="10" t="s">
        <v>235</v>
      </c>
      <c r="G184" s="12"/>
      <c r="H184" s="12"/>
      <c r="I184" s="13" t="s">
        <v>288</v>
      </c>
      <c r="J184" s="14" t="n">
        <f aca="false">IFERROR(INDEX(02_Milestone_Catalogue!$H$6:$H$36,MATCH($D184,02_Milestone_Catalogue!$A$6:$A$36,0)),1)</f>
        <v>1</v>
      </c>
      <c r="K184" s="15" t="n">
        <f aca="false">IF($I184="C",1,IF($I184="IP",0.5,IF($I184="D",0.25,IF($I184="NA","",0))))</f>
        <v>0</v>
      </c>
      <c r="L184" s="11"/>
      <c r="M184" s="13" t="s">
        <v>84</v>
      </c>
      <c r="N184" s="11"/>
      <c r="O184" s="11" t="s">
        <v>291</v>
      </c>
      <c r="P184" s="12"/>
      <c r="Q184" s="11"/>
    </row>
    <row r="185" customFormat="false" ht="23.85" hidden="false" customHeight="false" outlineLevel="0" collapsed="false">
      <c r="A185" s="10" t="str">
        <f aca="false">B185&amp;"|"&amp;D185</f>
        <v>GMB|M25</v>
      </c>
      <c r="B185" s="10" t="s">
        <v>99</v>
      </c>
      <c r="C185" s="10" t="s">
        <v>100</v>
      </c>
      <c r="D185" s="10" t="s">
        <v>239</v>
      </c>
      <c r="E185" s="10" t="s">
        <v>240</v>
      </c>
      <c r="F185" s="10" t="s">
        <v>241</v>
      </c>
      <c r="G185" s="12"/>
      <c r="H185" s="12"/>
      <c r="I185" s="13" t="s">
        <v>288</v>
      </c>
      <c r="J185" s="14" t="n">
        <f aca="false">IFERROR(INDEX(02_Milestone_Catalogue!$H$6:$H$36,MATCH($D185,02_Milestone_Catalogue!$A$6:$A$36,0)),1)</f>
        <v>1</v>
      </c>
      <c r="K185" s="15" t="n">
        <f aca="false">IF($I185="C",1,IF($I185="IP",0.5,IF($I185="D",0.25,IF($I185="NA","",0))))</f>
        <v>0</v>
      </c>
      <c r="L185" s="11"/>
      <c r="M185" s="13" t="s">
        <v>84</v>
      </c>
      <c r="N185" s="11"/>
      <c r="O185" s="11" t="s">
        <v>291</v>
      </c>
      <c r="P185" s="12"/>
      <c r="Q185" s="11"/>
    </row>
    <row r="186" customFormat="false" ht="23.85" hidden="false" customHeight="false" outlineLevel="0" collapsed="false">
      <c r="A186" s="10" t="str">
        <f aca="false">B186&amp;"|"&amp;D186</f>
        <v>GMB|M26</v>
      </c>
      <c r="B186" s="10" t="s">
        <v>99</v>
      </c>
      <c r="C186" s="10" t="s">
        <v>100</v>
      </c>
      <c r="D186" s="10" t="s">
        <v>245</v>
      </c>
      <c r="E186" s="10" t="s">
        <v>240</v>
      </c>
      <c r="F186" s="10" t="s">
        <v>246</v>
      </c>
      <c r="G186" s="12"/>
      <c r="H186" s="12"/>
      <c r="I186" s="13" t="s">
        <v>288</v>
      </c>
      <c r="J186" s="14" t="n">
        <f aca="false">IFERROR(INDEX(02_Milestone_Catalogue!$H$6:$H$36,MATCH($D186,02_Milestone_Catalogue!$A$6:$A$36,0)),1)</f>
        <v>1</v>
      </c>
      <c r="K186" s="15" t="n">
        <f aca="false">IF($I186="C",1,IF($I186="IP",0.5,IF($I186="D",0.25,IF($I186="NA","",0))))</f>
        <v>0</v>
      </c>
      <c r="L186" s="11"/>
      <c r="M186" s="13" t="s">
        <v>84</v>
      </c>
      <c r="N186" s="11"/>
      <c r="O186" s="11" t="s">
        <v>291</v>
      </c>
      <c r="P186" s="12"/>
      <c r="Q186" s="11"/>
    </row>
    <row r="187" customFormat="false" ht="23.85" hidden="false" customHeight="false" outlineLevel="0" collapsed="false">
      <c r="A187" s="10" t="str">
        <f aca="false">B187&amp;"|"&amp;D187</f>
        <v>GMB|M27</v>
      </c>
      <c r="B187" s="10" t="s">
        <v>99</v>
      </c>
      <c r="C187" s="10" t="s">
        <v>100</v>
      </c>
      <c r="D187" s="10" t="s">
        <v>249</v>
      </c>
      <c r="E187" s="10" t="s">
        <v>240</v>
      </c>
      <c r="F187" s="10" t="s">
        <v>250</v>
      </c>
      <c r="G187" s="12"/>
      <c r="H187" s="12"/>
      <c r="I187" s="13" t="s">
        <v>288</v>
      </c>
      <c r="J187" s="14" t="n">
        <f aca="false">IFERROR(INDEX(02_Milestone_Catalogue!$H$6:$H$36,MATCH($D187,02_Milestone_Catalogue!$A$6:$A$36,0)),1)</f>
        <v>1</v>
      </c>
      <c r="K187" s="15" t="n">
        <f aca="false">IF($I187="C",1,IF($I187="IP",0.5,IF($I187="D",0.25,IF($I187="NA","",0))))</f>
        <v>0</v>
      </c>
      <c r="L187" s="11"/>
      <c r="M187" s="13" t="s">
        <v>84</v>
      </c>
      <c r="N187" s="11"/>
      <c r="O187" s="11" t="s">
        <v>291</v>
      </c>
      <c r="P187" s="12"/>
      <c r="Q187" s="11"/>
    </row>
    <row r="188" customFormat="false" ht="23.85" hidden="false" customHeight="false" outlineLevel="0" collapsed="false">
      <c r="A188" s="10" t="str">
        <f aca="false">B188&amp;"|"&amp;D188</f>
        <v>GMB|M28</v>
      </c>
      <c r="B188" s="10" t="s">
        <v>99</v>
      </c>
      <c r="C188" s="10" t="s">
        <v>100</v>
      </c>
      <c r="D188" s="10" t="s">
        <v>254</v>
      </c>
      <c r="E188" s="10" t="s">
        <v>240</v>
      </c>
      <c r="F188" s="10" t="s">
        <v>255</v>
      </c>
      <c r="G188" s="12"/>
      <c r="H188" s="12"/>
      <c r="I188" s="13" t="s">
        <v>288</v>
      </c>
      <c r="J188" s="14" t="n">
        <f aca="false">IFERROR(INDEX(02_Milestone_Catalogue!$H$6:$H$36,MATCH($D188,02_Milestone_Catalogue!$A$6:$A$36,0)),1)</f>
        <v>1</v>
      </c>
      <c r="K188" s="15" t="n">
        <f aca="false">IF($I188="C",1,IF($I188="IP",0.5,IF($I188="D",0.25,IF($I188="NA","",0))))</f>
        <v>0</v>
      </c>
      <c r="L188" s="11"/>
      <c r="M188" s="13" t="s">
        <v>84</v>
      </c>
      <c r="N188" s="11"/>
      <c r="O188" s="11" t="s">
        <v>291</v>
      </c>
      <c r="P188" s="12"/>
      <c r="Q188" s="11"/>
    </row>
    <row r="189" customFormat="false" ht="23.85" hidden="false" customHeight="false" outlineLevel="0" collapsed="false">
      <c r="A189" s="10" t="str">
        <f aca="false">B189&amp;"|"&amp;D189</f>
        <v>GMB|M29</v>
      </c>
      <c r="B189" s="10" t="s">
        <v>99</v>
      </c>
      <c r="C189" s="10" t="s">
        <v>100</v>
      </c>
      <c r="D189" s="10" t="s">
        <v>258</v>
      </c>
      <c r="E189" s="10" t="s">
        <v>240</v>
      </c>
      <c r="F189" s="10" t="s">
        <v>259</v>
      </c>
      <c r="G189" s="12"/>
      <c r="H189" s="12"/>
      <c r="I189" s="13" t="s">
        <v>288</v>
      </c>
      <c r="J189" s="14" t="n">
        <f aca="false">IFERROR(INDEX(02_Milestone_Catalogue!$H$6:$H$36,MATCH($D189,02_Milestone_Catalogue!$A$6:$A$36,0)),1)</f>
        <v>1</v>
      </c>
      <c r="K189" s="15" t="n">
        <f aca="false">IF($I189="C",1,IF($I189="IP",0.5,IF($I189="D",0.25,IF($I189="NA","",0))))</f>
        <v>0</v>
      </c>
      <c r="L189" s="11"/>
      <c r="M189" s="13" t="s">
        <v>84</v>
      </c>
      <c r="N189" s="11"/>
      <c r="O189" s="11" t="s">
        <v>289</v>
      </c>
      <c r="P189" s="12"/>
      <c r="Q189" s="11"/>
    </row>
    <row r="190" customFormat="false" ht="23.85" hidden="false" customHeight="false" outlineLevel="0" collapsed="false">
      <c r="A190" s="10" t="str">
        <f aca="false">B190&amp;"|"&amp;D190</f>
        <v>GMB|M30</v>
      </c>
      <c r="B190" s="10" t="s">
        <v>99</v>
      </c>
      <c r="C190" s="10" t="s">
        <v>100</v>
      </c>
      <c r="D190" s="10" t="s">
        <v>264</v>
      </c>
      <c r="E190" s="10" t="s">
        <v>240</v>
      </c>
      <c r="F190" s="10" t="s">
        <v>265</v>
      </c>
      <c r="G190" s="12"/>
      <c r="H190" s="12"/>
      <c r="I190" s="13" t="s">
        <v>288</v>
      </c>
      <c r="J190" s="14" t="n">
        <f aca="false">IFERROR(INDEX(02_Milestone_Catalogue!$H$6:$H$36,MATCH($D190,02_Milestone_Catalogue!$A$6:$A$36,0)),1)</f>
        <v>1</v>
      </c>
      <c r="K190" s="15" t="n">
        <f aca="false">IF($I190="C",1,IF($I190="IP",0.5,IF($I190="D",0.25,IF($I190="NA","",0))))</f>
        <v>0</v>
      </c>
      <c r="L190" s="11"/>
      <c r="M190" s="13" t="s">
        <v>84</v>
      </c>
      <c r="N190" s="11"/>
      <c r="O190" s="11" t="s">
        <v>289</v>
      </c>
      <c r="P190" s="12"/>
      <c r="Q190" s="11"/>
    </row>
    <row r="191" customFormat="false" ht="23.85" hidden="false" customHeight="false" outlineLevel="0" collapsed="false">
      <c r="A191" s="10" t="str">
        <f aca="false">B191&amp;"|"&amp;D191</f>
        <v>GMB|M31</v>
      </c>
      <c r="B191" s="10" t="s">
        <v>99</v>
      </c>
      <c r="C191" s="10" t="s">
        <v>100</v>
      </c>
      <c r="D191" s="10" t="s">
        <v>269</v>
      </c>
      <c r="E191" s="10" t="s">
        <v>240</v>
      </c>
      <c r="F191" s="10" t="s">
        <v>270</v>
      </c>
      <c r="G191" s="12"/>
      <c r="H191" s="12"/>
      <c r="I191" s="13" t="s">
        <v>288</v>
      </c>
      <c r="J191" s="14" t="n">
        <f aca="false">IFERROR(INDEX(02_Milestone_Catalogue!$H$6:$H$36,MATCH($D191,02_Milestone_Catalogue!$A$6:$A$36,0)),1)</f>
        <v>1</v>
      </c>
      <c r="K191" s="15" t="n">
        <f aca="false">IF($I191="C",1,IF($I191="IP",0.5,IF($I191="D",0.25,IF($I191="NA","",0))))</f>
        <v>0</v>
      </c>
      <c r="L191" s="11"/>
      <c r="M191" s="13" t="s">
        <v>84</v>
      </c>
      <c r="N191" s="11"/>
      <c r="O191" s="11" t="s">
        <v>291</v>
      </c>
      <c r="P191" s="12"/>
      <c r="Q191" s="11"/>
    </row>
  </sheetData>
  <autoFilter ref="A5:Q191"/>
  <conditionalFormatting sqref="I6:I191">
    <cfRule type="cellIs" priority="2" operator="equal" aboveAverage="0" equalAverage="0" bottom="0" percent="0" rank="0" text="" dxfId="7">
      <formula>"C"</formula>
    </cfRule>
    <cfRule type="cellIs" priority="3" operator="equal" aboveAverage="0" equalAverage="0" bottom="0" percent="0" rank="0" text="" dxfId="8">
      <formula>"IP"</formula>
    </cfRule>
    <cfRule type="cellIs" priority="4" operator="equal" aboveAverage="0" equalAverage="0" bottom="0" percent="0" rank="0" text="" dxfId="9">
      <formula>"D"</formula>
    </cfRule>
  </conditionalFormatting>
  <dataValidations count="2">
    <dataValidation allowBlank="true" error="Use NS, IP, C, D or NA." errorStyle="stop" operator="between" showDropDown="false" showErrorMessage="false" showInputMessage="false" sqref="I6:I191" type="list">
      <formula1>"NS,IP,C,D,NA"</formula1>
      <formula2>0</formula2>
    </dataValidation>
    <dataValidation allowBlank="true" errorStyle="stop" operator="between" showDropDown="false" showErrorMessage="false" showInputMessage="false" sqref="M6:M19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46"/>
    <col collapsed="false" customWidth="true" hidden="false" outlineLevel="0" max="9" min="4" style="0" width="14"/>
  </cols>
  <sheetData>
    <row r="1" customFormat="false" ht="17.35" hidden="false" customHeight="false" outlineLevel="0" collapsed="false">
      <c r="A1" s="7" t="s">
        <v>60</v>
      </c>
    </row>
    <row r="2" customFormat="false" ht="15" hidden="false" customHeight="false" outlineLevel="0" collapsed="false">
      <c r="A2" s="8" t="s">
        <v>294</v>
      </c>
    </row>
    <row r="3" customFormat="false" ht="15" hidden="false" customHeight="false" outlineLevel="0" collapsed="false">
      <c r="A3" s="3" t="s">
        <v>62</v>
      </c>
    </row>
    <row r="4" customFormat="false" ht="15" hidden="false" customHeight="false" outlineLevel="0" collapsed="false">
      <c r="C4" s="16" t="s">
        <v>295</v>
      </c>
      <c r="D4" s="17" t="s">
        <v>77</v>
      </c>
      <c r="E4" s="17" t="s">
        <v>85</v>
      </c>
      <c r="F4" s="17" t="s">
        <v>89</v>
      </c>
      <c r="G4" s="17" t="s">
        <v>93</v>
      </c>
      <c r="H4" s="17" t="s">
        <v>96</v>
      </c>
      <c r="I4" s="17" t="s">
        <v>99</v>
      </c>
    </row>
    <row r="5" customFormat="false" ht="39.75" hidden="false" customHeight="true" outlineLevel="0" collapsed="false">
      <c r="A5" s="9" t="s">
        <v>106</v>
      </c>
      <c r="B5" s="9" t="s">
        <v>107</v>
      </c>
      <c r="C5" s="9" t="s">
        <v>108</v>
      </c>
      <c r="D5" s="9" t="s">
        <v>296</v>
      </c>
      <c r="E5" s="9" t="s">
        <v>297</v>
      </c>
      <c r="F5" s="9" t="s">
        <v>298</v>
      </c>
      <c r="G5" s="9" t="s">
        <v>299</v>
      </c>
      <c r="H5" s="9" t="s">
        <v>300</v>
      </c>
      <c r="I5" s="9" t="s">
        <v>301</v>
      </c>
    </row>
    <row r="6" customFormat="false" ht="23.85" hidden="false" customHeight="false" outlineLevel="0" collapsed="false">
      <c r="A6" s="10" t="s">
        <v>114</v>
      </c>
      <c r="B6" s="10" t="s">
        <v>103</v>
      </c>
      <c r="C6" s="10" t="s">
        <v>115</v>
      </c>
      <c r="D6" s="18" t="str">
        <f aca="false">IFERROR(INDEX(03_Progress_Tracker!$I$6:$I$191,MATCH(D$4&amp;"|"&amp;$A6,03_Progress_Tracker!$A$6:$A$191,0)),"")</f>
        <v>NS</v>
      </c>
      <c r="E6" s="18" t="str">
        <f aca="false">IFERROR(INDEX(03_Progress_Tracker!$I$6:$I$191,MATCH(E$4&amp;"|"&amp;$A6,03_Progress_Tracker!$A$6:$A$191,0)),"")</f>
        <v>NS</v>
      </c>
      <c r="F6" s="18" t="str">
        <f aca="false">IFERROR(INDEX(03_Progress_Tracker!$I$6:$I$191,MATCH(F$4&amp;"|"&amp;$A6,03_Progress_Tracker!$A$6:$A$191,0)),"")</f>
        <v>NS</v>
      </c>
      <c r="G6" s="18" t="str">
        <f aca="false">IFERROR(INDEX(03_Progress_Tracker!$I$6:$I$191,MATCH(G$4&amp;"|"&amp;$A6,03_Progress_Tracker!$A$6:$A$191,0)),"")</f>
        <v>NS</v>
      </c>
      <c r="H6" s="18" t="str">
        <f aca="false">IFERROR(INDEX(03_Progress_Tracker!$I$6:$I$191,MATCH(H$4&amp;"|"&amp;$A6,03_Progress_Tracker!$A$6:$A$191,0)),"")</f>
        <v>NS</v>
      </c>
      <c r="I6" s="18" t="str">
        <f aca="false">IFERROR(INDEX(03_Progress_Tracker!$I$6:$I$191,MATCH(I$4&amp;"|"&amp;$A6,03_Progress_Tracker!$A$6:$A$191,0)),"")</f>
        <v>NS</v>
      </c>
    </row>
    <row r="7" customFormat="false" ht="23.85" hidden="false" customHeight="false" outlineLevel="0" collapsed="false">
      <c r="A7" s="10" t="s">
        <v>120</v>
      </c>
      <c r="B7" s="10" t="s">
        <v>103</v>
      </c>
      <c r="C7" s="10" t="s">
        <v>121</v>
      </c>
      <c r="D7" s="18" t="str">
        <f aca="false">IFERROR(INDEX(03_Progress_Tracker!$I$6:$I$191,MATCH(D$4&amp;"|"&amp;$A7,03_Progress_Tracker!$A$6:$A$191,0)),"")</f>
        <v>C</v>
      </c>
      <c r="E7" s="18" t="str">
        <f aca="false">IFERROR(INDEX(03_Progress_Tracker!$I$6:$I$191,MATCH(E$4&amp;"|"&amp;$A7,03_Progress_Tracker!$A$6:$A$191,0)),"")</f>
        <v>C</v>
      </c>
      <c r="F7" s="18" t="str">
        <f aca="false">IFERROR(INDEX(03_Progress_Tracker!$I$6:$I$191,MATCH(F$4&amp;"|"&amp;$A7,03_Progress_Tracker!$A$6:$A$191,0)),"")</f>
        <v>C</v>
      </c>
      <c r="G7" s="18" t="str">
        <f aca="false">IFERROR(INDEX(03_Progress_Tracker!$I$6:$I$191,MATCH(G$4&amp;"|"&amp;$A7,03_Progress_Tracker!$A$6:$A$191,0)),"")</f>
        <v>C</v>
      </c>
      <c r="H7" s="18" t="str">
        <f aca="false">IFERROR(INDEX(03_Progress_Tracker!$I$6:$I$191,MATCH(H$4&amp;"|"&amp;$A7,03_Progress_Tracker!$A$6:$A$191,0)),"")</f>
        <v>C</v>
      </c>
      <c r="I7" s="18" t="str">
        <f aca="false">IFERROR(INDEX(03_Progress_Tracker!$I$6:$I$191,MATCH(I$4&amp;"|"&amp;$A7,03_Progress_Tracker!$A$6:$A$191,0)),"")</f>
        <v>C</v>
      </c>
    </row>
    <row r="8" customFormat="false" ht="23.85" hidden="false" customHeight="false" outlineLevel="0" collapsed="false">
      <c r="A8" s="10" t="s">
        <v>125</v>
      </c>
      <c r="B8" s="10" t="s">
        <v>103</v>
      </c>
      <c r="C8" s="10" t="s">
        <v>126</v>
      </c>
      <c r="D8" s="18" t="str">
        <f aca="false">IFERROR(INDEX(03_Progress_Tracker!$I$6:$I$191,MATCH(D$4&amp;"|"&amp;$A8,03_Progress_Tracker!$A$6:$A$191,0)),"")</f>
        <v>C</v>
      </c>
      <c r="E8" s="18" t="str">
        <f aca="false">IFERROR(INDEX(03_Progress_Tracker!$I$6:$I$191,MATCH(E$4&amp;"|"&amp;$A8,03_Progress_Tracker!$A$6:$A$191,0)),"")</f>
        <v>C</v>
      </c>
      <c r="F8" s="18" t="str">
        <f aca="false">IFERROR(INDEX(03_Progress_Tracker!$I$6:$I$191,MATCH(F$4&amp;"|"&amp;$A8,03_Progress_Tracker!$A$6:$A$191,0)),"")</f>
        <v>C</v>
      </c>
      <c r="G8" s="18" t="str">
        <f aca="false">IFERROR(INDEX(03_Progress_Tracker!$I$6:$I$191,MATCH(G$4&amp;"|"&amp;$A8,03_Progress_Tracker!$A$6:$A$191,0)),"")</f>
        <v>C</v>
      </c>
      <c r="H8" s="18" t="str">
        <f aca="false">IFERROR(INDEX(03_Progress_Tracker!$I$6:$I$191,MATCH(H$4&amp;"|"&amp;$A8,03_Progress_Tracker!$A$6:$A$191,0)),"")</f>
        <v>C</v>
      </c>
      <c r="I8" s="18" t="str">
        <f aca="false">IFERROR(INDEX(03_Progress_Tracker!$I$6:$I$191,MATCH(I$4&amp;"|"&amp;$A8,03_Progress_Tracker!$A$6:$A$191,0)),"")</f>
        <v>C</v>
      </c>
    </row>
    <row r="9" customFormat="false" ht="23.85" hidden="false" customHeight="false" outlineLevel="0" collapsed="false">
      <c r="A9" s="10" t="s">
        <v>131</v>
      </c>
      <c r="B9" s="10" t="s">
        <v>103</v>
      </c>
      <c r="C9" s="10" t="s">
        <v>132</v>
      </c>
      <c r="D9" s="18" t="str">
        <f aca="false">IFERROR(INDEX(03_Progress_Tracker!$I$6:$I$191,MATCH(D$4&amp;"|"&amp;$A9,03_Progress_Tracker!$A$6:$A$191,0)),"")</f>
        <v>NS</v>
      </c>
      <c r="E9" s="18" t="str">
        <f aca="false">IFERROR(INDEX(03_Progress_Tracker!$I$6:$I$191,MATCH(E$4&amp;"|"&amp;$A9,03_Progress_Tracker!$A$6:$A$191,0)),"")</f>
        <v>NS</v>
      </c>
      <c r="F9" s="18" t="str">
        <f aca="false">IFERROR(INDEX(03_Progress_Tracker!$I$6:$I$191,MATCH(F$4&amp;"|"&amp;$A9,03_Progress_Tracker!$A$6:$A$191,0)),"")</f>
        <v>NS</v>
      </c>
      <c r="G9" s="18" t="str">
        <f aca="false">IFERROR(INDEX(03_Progress_Tracker!$I$6:$I$191,MATCH(G$4&amp;"|"&amp;$A9,03_Progress_Tracker!$A$6:$A$191,0)),"")</f>
        <v>NS</v>
      </c>
      <c r="H9" s="18" t="str">
        <f aca="false">IFERROR(INDEX(03_Progress_Tracker!$I$6:$I$191,MATCH(H$4&amp;"|"&amp;$A9,03_Progress_Tracker!$A$6:$A$191,0)),"")</f>
        <v>NS</v>
      </c>
      <c r="I9" s="18" t="str">
        <f aca="false">IFERROR(INDEX(03_Progress_Tracker!$I$6:$I$191,MATCH(I$4&amp;"|"&amp;$A9,03_Progress_Tracker!$A$6:$A$191,0)),"")</f>
        <v>NS</v>
      </c>
    </row>
    <row r="10" customFormat="false" ht="23.85" hidden="false" customHeight="false" outlineLevel="0" collapsed="false">
      <c r="A10" s="10" t="s">
        <v>135</v>
      </c>
      <c r="B10" s="10" t="s">
        <v>103</v>
      </c>
      <c r="C10" s="10" t="s">
        <v>136</v>
      </c>
      <c r="D10" s="18" t="str">
        <f aca="false">IFERROR(INDEX(03_Progress_Tracker!$I$6:$I$191,MATCH(D$4&amp;"|"&amp;$A10,03_Progress_Tracker!$A$6:$A$191,0)),"")</f>
        <v>NS</v>
      </c>
      <c r="E10" s="18" t="str">
        <f aca="false">IFERROR(INDEX(03_Progress_Tracker!$I$6:$I$191,MATCH(E$4&amp;"|"&amp;$A10,03_Progress_Tracker!$A$6:$A$191,0)),"")</f>
        <v>NS</v>
      </c>
      <c r="F10" s="18" t="str">
        <f aca="false">IFERROR(INDEX(03_Progress_Tracker!$I$6:$I$191,MATCH(F$4&amp;"|"&amp;$A10,03_Progress_Tracker!$A$6:$A$191,0)),"")</f>
        <v>NS</v>
      </c>
      <c r="G10" s="18" t="str">
        <f aca="false">IFERROR(INDEX(03_Progress_Tracker!$I$6:$I$191,MATCH(G$4&amp;"|"&amp;$A10,03_Progress_Tracker!$A$6:$A$191,0)),"")</f>
        <v>NS</v>
      </c>
      <c r="H10" s="18" t="str">
        <f aca="false">IFERROR(INDEX(03_Progress_Tracker!$I$6:$I$191,MATCH(H$4&amp;"|"&amp;$A10,03_Progress_Tracker!$A$6:$A$191,0)),"")</f>
        <v>NS</v>
      </c>
      <c r="I10" s="18" t="str">
        <f aca="false">IFERROR(INDEX(03_Progress_Tracker!$I$6:$I$191,MATCH(I$4&amp;"|"&amp;$A10,03_Progress_Tracker!$A$6:$A$191,0)),"")</f>
        <v>NS</v>
      </c>
    </row>
    <row r="11" customFormat="false" ht="23.85" hidden="false" customHeight="false" outlineLevel="0" collapsed="false">
      <c r="A11" s="10" t="s">
        <v>141</v>
      </c>
      <c r="B11" s="10" t="s">
        <v>103</v>
      </c>
      <c r="C11" s="10" t="s">
        <v>142</v>
      </c>
      <c r="D11" s="18" t="str">
        <f aca="false">IFERROR(INDEX(03_Progress_Tracker!$I$6:$I$191,MATCH(D$4&amp;"|"&amp;$A11,03_Progress_Tracker!$A$6:$A$191,0)),"")</f>
        <v>NS</v>
      </c>
      <c r="E11" s="18" t="str">
        <f aca="false">IFERROR(INDEX(03_Progress_Tracker!$I$6:$I$191,MATCH(E$4&amp;"|"&amp;$A11,03_Progress_Tracker!$A$6:$A$191,0)),"")</f>
        <v>NS</v>
      </c>
      <c r="F11" s="18" t="str">
        <f aca="false">IFERROR(INDEX(03_Progress_Tracker!$I$6:$I$191,MATCH(F$4&amp;"|"&amp;$A11,03_Progress_Tracker!$A$6:$A$191,0)),"")</f>
        <v>NS</v>
      </c>
      <c r="G11" s="18" t="str">
        <f aca="false">IFERROR(INDEX(03_Progress_Tracker!$I$6:$I$191,MATCH(G$4&amp;"|"&amp;$A11,03_Progress_Tracker!$A$6:$A$191,0)),"")</f>
        <v>NS</v>
      </c>
      <c r="H11" s="18" t="str">
        <f aca="false">IFERROR(INDEX(03_Progress_Tracker!$I$6:$I$191,MATCH(H$4&amp;"|"&amp;$A11,03_Progress_Tracker!$A$6:$A$191,0)),"")</f>
        <v>NS</v>
      </c>
      <c r="I11" s="18" t="str">
        <f aca="false">IFERROR(INDEX(03_Progress_Tracker!$I$6:$I$191,MATCH(I$4&amp;"|"&amp;$A11,03_Progress_Tracker!$A$6:$A$191,0)),"")</f>
        <v>NS</v>
      </c>
    </row>
    <row r="12" customFormat="false" ht="23.85" hidden="false" customHeight="false" outlineLevel="0" collapsed="false">
      <c r="A12" s="10" t="s">
        <v>146</v>
      </c>
      <c r="B12" s="10" t="s">
        <v>88</v>
      </c>
      <c r="C12" s="10" t="s">
        <v>147</v>
      </c>
      <c r="D12" s="18" t="str">
        <f aca="false">IFERROR(INDEX(03_Progress_Tracker!$I$6:$I$191,MATCH(D$4&amp;"|"&amp;$A12,03_Progress_Tracker!$A$6:$A$191,0)),"")</f>
        <v>C</v>
      </c>
      <c r="E12" s="18" t="str">
        <f aca="false">IFERROR(INDEX(03_Progress_Tracker!$I$6:$I$191,MATCH(E$4&amp;"|"&amp;$A12,03_Progress_Tracker!$A$6:$A$191,0)),"")</f>
        <v>C</v>
      </c>
      <c r="F12" s="18" t="str">
        <f aca="false">IFERROR(INDEX(03_Progress_Tracker!$I$6:$I$191,MATCH(F$4&amp;"|"&amp;$A12,03_Progress_Tracker!$A$6:$A$191,0)),"")</f>
        <v>C</v>
      </c>
      <c r="G12" s="18" t="str">
        <f aca="false">IFERROR(INDEX(03_Progress_Tracker!$I$6:$I$191,MATCH(G$4&amp;"|"&amp;$A12,03_Progress_Tracker!$A$6:$A$191,0)),"")</f>
        <v>C</v>
      </c>
      <c r="H12" s="18" t="str">
        <f aca="false">IFERROR(INDEX(03_Progress_Tracker!$I$6:$I$191,MATCH(H$4&amp;"|"&amp;$A12,03_Progress_Tracker!$A$6:$A$191,0)),"")</f>
        <v>IP</v>
      </c>
      <c r="I12" s="18" t="str">
        <f aca="false">IFERROR(INDEX(03_Progress_Tracker!$I$6:$I$191,MATCH(I$4&amp;"|"&amp;$A12,03_Progress_Tracker!$A$6:$A$191,0)),"")</f>
        <v>IP</v>
      </c>
    </row>
    <row r="13" customFormat="false" ht="23.85" hidden="false" customHeight="false" outlineLevel="0" collapsed="false">
      <c r="A13" s="10" t="s">
        <v>152</v>
      </c>
      <c r="B13" s="10" t="s">
        <v>88</v>
      </c>
      <c r="C13" s="10" t="s">
        <v>153</v>
      </c>
      <c r="D13" s="18" t="str">
        <f aca="false">IFERROR(INDEX(03_Progress_Tracker!$I$6:$I$191,MATCH(D$4&amp;"|"&amp;$A13,03_Progress_Tracker!$A$6:$A$191,0)),"")</f>
        <v>C</v>
      </c>
      <c r="E13" s="18" t="str">
        <f aca="false">IFERROR(INDEX(03_Progress_Tracker!$I$6:$I$191,MATCH(E$4&amp;"|"&amp;$A13,03_Progress_Tracker!$A$6:$A$191,0)),"")</f>
        <v>IP</v>
      </c>
      <c r="F13" s="18" t="str">
        <f aca="false">IFERROR(INDEX(03_Progress_Tracker!$I$6:$I$191,MATCH(F$4&amp;"|"&amp;$A13,03_Progress_Tracker!$A$6:$A$191,0)),"")</f>
        <v>C</v>
      </c>
      <c r="G13" s="18" t="str">
        <f aca="false">IFERROR(INDEX(03_Progress_Tracker!$I$6:$I$191,MATCH(G$4&amp;"|"&amp;$A13,03_Progress_Tracker!$A$6:$A$191,0)),"")</f>
        <v>C</v>
      </c>
      <c r="H13" s="18" t="str">
        <f aca="false">IFERROR(INDEX(03_Progress_Tracker!$I$6:$I$191,MATCH(H$4&amp;"|"&amp;$A13,03_Progress_Tracker!$A$6:$A$191,0)),"")</f>
        <v>IP</v>
      </c>
      <c r="I13" s="18" t="str">
        <f aca="false">IFERROR(INDEX(03_Progress_Tracker!$I$6:$I$191,MATCH(I$4&amp;"|"&amp;$A13,03_Progress_Tracker!$A$6:$A$191,0)),"")</f>
        <v>NS</v>
      </c>
    </row>
    <row r="14" customFormat="false" ht="23.85" hidden="false" customHeight="false" outlineLevel="0" collapsed="false">
      <c r="A14" s="10" t="s">
        <v>158</v>
      </c>
      <c r="B14" s="10" t="s">
        <v>88</v>
      </c>
      <c r="C14" s="10" t="s">
        <v>159</v>
      </c>
      <c r="D14" s="18" t="str">
        <f aca="false">IFERROR(INDEX(03_Progress_Tracker!$I$6:$I$191,MATCH(D$4&amp;"|"&amp;$A14,03_Progress_Tracker!$A$6:$A$191,0)),"")</f>
        <v>NS</v>
      </c>
      <c r="E14" s="18" t="str">
        <f aca="false">IFERROR(INDEX(03_Progress_Tracker!$I$6:$I$191,MATCH(E$4&amp;"|"&amp;$A14,03_Progress_Tracker!$A$6:$A$191,0)),"")</f>
        <v>NS</v>
      </c>
      <c r="F14" s="18" t="str">
        <f aca="false">IFERROR(INDEX(03_Progress_Tracker!$I$6:$I$191,MATCH(F$4&amp;"|"&amp;$A14,03_Progress_Tracker!$A$6:$A$191,0)),"")</f>
        <v>NS</v>
      </c>
      <c r="G14" s="18" t="str">
        <f aca="false">IFERROR(INDEX(03_Progress_Tracker!$I$6:$I$191,MATCH(G$4&amp;"|"&amp;$A14,03_Progress_Tracker!$A$6:$A$191,0)),"")</f>
        <v>NS</v>
      </c>
      <c r="H14" s="18" t="str">
        <f aca="false">IFERROR(INDEX(03_Progress_Tracker!$I$6:$I$191,MATCH(H$4&amp;"|"&amp;$A14,03_Progress_Tracker!$A$6:$A$191,0)),"")</f>
        <v>NS</v>
      </c>
      <c r="I14" s="18" t="str">
        <f aca="false">IFERROR(INDEX(03_Progress_Tracker!$I$6:$I$191,MATCH(I$4&amp;"|"&amp;$A14,03_Progress_Tracker!$A$6:$A$191,0)),"")</f>
        <v>NS</v>
      </c>
    </row>
    <row r="15" customFormat="false" ht="23.85" hidden="false" customHeight="false" outlineLevel="0" collapsed="false">
      <c r="A15" s="10" t="s">
        <v>163</v>
      </c>
      <c r="B15" s="10" t="s">
        <v>88</v>
      </c>
      <c r="C15" s="10" t="s">
        <v>164</v>
      </c>
      <c r="D15" s="18" t="str">
        <f aca="false">IFERROR(INDEX(03_Progress_Tracker!$I$6:$I$191,MATCH(D$4&amp;"|"&amp;$A15,03_Progress_Tracker!$A$6:$A$191,0)),"")</f>
        <v>NS</v>
      </c>
      <c r="E15" s="18" t="str">
        <f aca="false">IFERROR(INDEX(03_Progress_Tracker!$I$6:$I$191,MATCH(E$4&amp;"|"&amp;$A15,03_Progress_Tracker!$A$6:$A$191,0)),"")</f>
        <v>NS</v>
      </c>
      <c r="F15" s="18" t="str">
        <f aca="false">IFERROR(INDEX(03_Progress_Tracker!$I$6:$I$191,MATCH(F$4&amp;"|"&amp;$A15,03_Progress_Tracker!$A$6:$A$191,0)),"")</f>
        <v>NS</v>
      </c>
      <c r="G15" s="18" t="str">
        <f aca="false">IFERROR(INDEX(03_Progress_Tracker!$I$6:$I$191,MATCH(G$4&amp;"|"&amp;$A15,03_Progress_Tracker!$A$6:$A$191,0)),"")</f>
        <v>NS</v>
      </c>
      <c r="H15" s="18" t="str">
        <f aca="false">IFERROR(INDEX(03_Progress_Tracker!$I$6:$I$191,MATCH(H$4&amp;"|"&amp;$A15,03_Progress_Tracker!$A$6:$A$191,0)),"")</f>
        <v>NS</v>
      </c>
      <c r="I15" s="18" t="str">
        <f aca="false">IFERROR(INDEX(03_Progress_Tracker!$I$6:$I$191,MATCH(I$4&amp;"|"&amp;$A15,03_Progress_Tracker!$A$6:$A$191,0)),"")</f>
        <v>NS</v>
      </c>
    </row>
    <row r="16" customFormat="false" ht="23.85" hidden="false" customHeight="false" outlineLevel="0" collapsed="false">
      <c r="A16" s="10" t="s">
        <v>168</v>
      </c>
      <c r="B16" s="10" t="s">
        <v>88</v>
      </c>
      <c r="C16" s="10" t="s">
        <v>169</v>
      </c>
      <c r="D16" s="18" t="str">
        <f aca="false">IFERROR(INDEX(03_Progress_Tracker!$I$6:$I$191,MATCH(D$4&amp;"|"&amp;$A16,03_Progress_Tracker!$A$6:$A$191,0)),"")</f>
        <v>NS</v>
      </c>
      <c r="E16" s="18" t="str">
        <f aca="false">IFERROR(INDEX(03_Progress_Tracker!$I$6:$I$191,MATCH(E$4&amp;"|"&amp;$A16,03_Progress_Tracker!$A$6:$A$191,0)),"")</f>
        <v>NS</v>
      </c>
      <c r="F16" s="18" t="str">
        <f aca="false">IFERROR(INDEX(03_Progress_Tracker!$I$6:$I$191,MATCH(F$4&amp;"|"&amp;$A16,03_Progress_Tracker!$A$6:$A$191,0)),"")</f>
        <v>NS</v>
      </c>
      <c r="G16" s="18" t="str">
        <f aca="false">IFERROR(INDEX(03_Progress_Tracker!$I$6:$I$191,MATCH(G$4&amp;"|"&amp;$A16,03_Progress_Tracker!$A$6:$A$191,0)),"")</f>
        <v>NS</v>
      </c>
      <c r="H16" s="18" t="str">
        <f aca="false">IFERROR(INDEX(03_Progress_Tracker!$I$6:$I$191,MATCH(H$4&amp;"|"&amp;$A16,03_Progress_Tracker!$A$6:$A$191,0)),"")</f>
        <v>NS</v>
      </c>
      <c r="I16" s="18" t="str">
        <f aca="false">IFERROR(INDEX(03_Progress_Tracker!$I$6:$I$191,MATCH(I$4&amp;"|"&amp;$A16,03_Progress_Tracker!$A$6:$A$191,0)),"")</f>
        <v>NS</v>
      </c>
    </row>
    <row r="17" customFormat="false" ht="23.85" hidden="false" customHeight="false" outlineLevel="0" collapsed="false">
      <c r="A17" s="10" t="s">
        <v>173</v>
      </c>
      <c r="B17" s="10" t="s">
        <v>88</v>
      </c>
      <c r="C17" s="10" t="s">
        <v>174</v>
      </c>
      <c r="D17" s="18" t="str">
        <f aca="false">IFERROR(INDEX(03_Progress_Tracker!$I$6:$I$191,MATCH(D$4&amp;"|"&amp;$A17,03_Progress_Tracker!$A$6:$A$191,0)),"")</f>
        <v>NS</v>
      </c>
      <c r="E17" s="18" t="str">
        <f aca="false">IFERROR(INDEX(03_Progress_Tracker!$I$6:$I$191,MATCH(E$4&amp;"|"&amp;$A17,03_Progress_Tracker!$A$6:$A$191,0)),"")</f>
        <v>NS</v>
      </c>
      <c r="F17" s="18" t="str">
        <f aca="false">IFERROR(INDEX(03_Progress_Tracker!$I$6:$I$191,MATCH(F$4&amp;"|"&amp;$A17,03_Progress_Tracker!$A$6:$A$191,0)),"")</f>
        <v>NS</v>
      </c>
      <c r="G17" s="18" t="str">
        <f aca="false">IFERROR(INDEX(03_Progress_Tracker!$I$6:$I$191,MATCH(G$4&amp;"|"&amp;$A17,03_Progress_Tracker!$A$6:$A$191,0)),"")</f>
        <v>NS</v>
      </c>
      <c r="H17" s="18" t="str">
        <f aca="false">IFERROR(INDEX(03_Progress_Tracker!$I$6:$I$191,MATCH(H$4&amp;"|"&amp;$A17,03_Progress_Tracker!$A$6:$A$191,0)),"")</f>
        <v>NS</v>
      </c>
      <c r="I17" s="18" t="str">
        <f aca="false">IFERROR(INDEX(03_Progress_Tracker!$I$6:$I$191,MATCH(I$4&amp;"|"&amp;$A17,03_Progress_Tracker!$A$6:$A$191,0)),"")</f>
        <v>NS</v>
      </c>
    </row>
    <row r="18" customFormat="false" ht="23.85" hidden="false" customHeight="false" outlineLevel="0" collapsed="false">
      <c r="A18" s="10" t="s">
        <v>178</v>
      </c>
      <c r="B18" s="10" t="s">
        <v>88</v>
      </c>
      <c r="C18" s="10" t="s">
        <v>179</v>
      </c>
      <c r="D18" s="18" t="str">
        <f aca="false">IFERROR(INDEX(03_Progress_Tracker!$I$6:$I$191,MATCH(D$4&amp;"|"&amp;$A18,03_Progress_Tracker!$A$6:$A$191,0)),"")</f>
        <v>C</v>
      </c>
      <c r="E18" s="18" t="str">
        <f aca="false">IFERROR(INDEX(03_Progress_Tracker!$I$6:$I$191,MATCH(E$4&amp;"|"&amp;$A18,03_Progress_Tracker!$A$6:$A$191,0)),"")</f>
        <v>IP</v>
      </c>
      <c r="F18" s="18" t="str">
        <f aca="false">IFERROR(INDEX(03_Progress_Tracker!$I$6:$I$191,MATCH(F$4&amp;"|"&amp;$A18,03_Progress_Tracker!$A$6:$A$191,0)),"")</f>
        <v>C</v>
      </c>
      <c r="G18" s="18" t="str">
        <f aca="false">IFERROR(INDEX(03_Progress_Tracker!$I$6:$I$191,MATCH(G$4&amp;"|"&amp;$A18,03_Progress_Tracker!$A$6:$A$191,0)),"")</f>
        <v>C</v>
      </c>
      <c r="H18" s="18" t="str">
        <f aca="false">IFERROR(INDEX(03_Progress_Tracker!$I$6:$I$191,MATCH(H$4&amp;"|"&amp;$A18,03_Progress_Tracker!$A$6:$A$191,0)),"")</f>
        <v>C</v>
      </c>
      <c r="I18" s="18" t="str">
        <f aca="false">IFERROR(INDEX(03_Progress_Tracker!$I$6:$I$191,MATCH(I$4&amp;"|"&amp;$A18,03_Progress_Tracker!$A$6:$A$191,0)),"")</f>
        <v>NS</v>
      </c>
    </row>
    <row r="19" customFormat="false" ht="15" hidden="false" customHeight="false" outlineLevel="0" collapsed="false">
      <c r="A19" s="10" t="s">
        <v>183</v>
      </c>
      <c r="B19" s="10" t="s">
        <v>88</v>
      </c>
      <c r="C19" s="10" t="s">
        <v>184</v>
      </c>
      <c r="D19" s="18" t="str">
        <f aca="false">IFERROR(INDEX(03_Progress_Tracker!$I$6:$I$191,MATCH(D$4&amp;"|"&amp;$A19,03_Progress_Tracker!$A$6:$A$191,0)),"")</f>
        <v>C</v>
      </c>
      <c r="E19" s="18" t="str">
        <f aca="false">IFERROR(INDEX(03_Progress_Tracker!$I$6:$I$191,MATCH(E$4&amp;"|"&amp;$A19,03_Progress_Tracker!$A$6:$A$191,0)),"")</f>
        <v>NS</v>
      </c>
      <c r="F19" s="18" t="str">
        <f aca="false">IFERROR(INDEX(03_Progress_Tracker!$I$6:$I$191,MATCH(F$4&amp;"|"&amp;$A19,03_Progress_Tracker!$A$6:$A$191,0)),"")</f>
        <v>C</v>
      </c>
      <c r="G19" s="18" t="str">
        <f aca="false">IFERROR(INDEX(03_Progress_Tracker!$I$6:$I$191,MATCH(G$4&amp;"|"&amp;$A19,03_Progress_Tracker!$A$6:$A$191,0)),"")</f>
        <v>C</v>
      </c>
      <c r="H19" s="18" t="str">
        <f aca="false">IFERROR(INDEX(03_Progress_Tracker!$I$6:$I$191,MATCH(H$4&amp;"|"&amp;$A19,03_Progress_Tracker!$A$6:$A$191,0)),"")</f>
        <v>D</v>
      </c>
      <c r="I19" s="18" t="str">
        <f aca="false">IFERROR(INDEX(03_Progress_Tracker!$I$6:$I$191,MATCH(I$4&amp;"|"&amp;$A19,03_Progress_Tracker!$A$6:$A$191,0)),"")</f>
        <v>NS</v>
      </c>
    </row>
    <row r="20" customFormat="false" ht="15" hidden="false" customHeight="false" outlineLevel="0" collapsed="false">
      <c r="A20" s="10" t="s">
        <v>188</v>
      </c>
      <c r="B20" s="10" t="s">
        <v>88</v>
      </c>
      <c r="C20" s="10" t="s">
        <v>189</v>
      </c>
      <c r="D20" s="18" t="str">
        <f aca="false">IFERROR(INDEX(03_Progress_Tracker!$I$6:$I$191,MATCH(D$4&amp;"|"&amp;$A20,03_Progress_Tracker!$A$6:$A$191,0)),"")</f>
        <v>C</v>
      </c>
      <c r="E20" s="18" t="str">
        <f aca="false">IFERROR(INDEX(03_Progress_Tracker!$I$6:$I$191,MATCH(E$4&amp;"|"&amp;$A20,03_Progress_Tracker!$A$6:$A$191,0)),"")</f>
        <v>NS</v>
      </c>
      <c r="F20" s="18" t="str">
        <f aca="false">IFERROR(INDEX(03_Progress_Tracker!$I$6:$I$191,MATCH(F$4&amp;"|"&amp;$A20,03_Progress_Tracker!$A$6:$A$191,0)),"")</f>
        <v>C</v>
      </c>
      <c r="G20" s="18" t="str">
        <f aca="false">IFERROR(INDEX(03_Progress_Tracker!$I$6:$I$191,MATCH(G$4&amp;"|"&amp;$A20,03_Progress_Tracker!$A$6:$A$191,0)),"")</f>
        <v>C</v>
      </c>
      <c r="H20" s="18" t="str">
        <f aca="false">IFERROR(INDEX(03_Progress_Tracker!$I$6:$I$191,MATCH(H$4&amp;"|"&amp;$A20,03_Progress_Tracker!$A$6:$A$191,0)),"")</f>
        <v>D</v>
      </c>
      <c r="I20" s="18" t="str">
        <f aca="false">IFERROR(INDEX(03_Progress_Tracker!$I$6:$I$191,MATCH(I$4&amp;"|"&amp;$A20,03_Progress_Tracker!$A$6:$A$191,0)),"")</f>
        <v>NS</v>
      </c>
    </row>
    <row r="21" customFormat="false" ht="15" hidden="false" customHeight="false" outlineLevel="0" collapsed="false">
      <c r="A21" s="10" t="s">
        <v>193</v>
      </c>
      <c r="B21" s="10" t="s">
        <v>83</v>
      </c>
      <c r="C21" s="10" t="s">
        <v>194</v>
      </c>
      <c r="D21" s="18" t="str">
        <f aca="false">IFERROR(INDEX(03_Progress_Tracker!$I$6:$I$191,MATCH(D$4&amp;"|"&amp;$A21,03_Progress_Tracker!$A$6:$A$191,0)),"")</f>
        <v>IP</v>
      </c>
      <c r="E21" s="18" t="str">
        <f aca="false">IFERROR(INDEX(03_Progress_Tracker!$I$6:$I$191,MATCH(E$4&amp;"|"&amp;$A21,03_Progress_Tracker!$A$6:$A$191,0)),"")</f>
        <v>NS</v>
      </c>
      <c r="F21" s="18" t="str">
        <f aca="false">IFERROR(INDEX(03_Progress_Tracker!$I$6:$I$191,MATCH(F$4&amp;"|"&amp;$A21,03_Progress_Tracker!$A$6:$A$191,0)),"")</f>
        <v>C</v>
      </c>
      <c r="G21" s="18" t="str">
        <f aca="false">IFERROR(INDEX(03_Progress_Tracker!$I$6:$I$191,MATCH(G$4&amp;"|"&amp;$A21,03_Progress_Tracker!$A$6:$A$191,0)),"")</f>
        <v>C</v>
      </c>
      <c r="H21" s="18" t="str">
        <f aca="false">IFERROR(INDEX(03_Progress_Tracker!$I$6:$I$191,MATCH(H$4&amp;"|"&amp;$A21,03_Progress_Tracker!$A$6:$A$191,0)),"")</f>
        <v>NS</v>
      </c>
      <c r="I21" s="18" t="str">
        <f aca="false">IFERROR(INDEX(03_Progress_Tracker!$I$6:$I$191,MATCH(I$4&amp;"|"&amp;$A21,03_Progress_Tracker!$A$6:$A$191,0)),"")</f>
        <v>NS</v>
      </c>
    </row>
    <row r="22" customFormat="false" ht="15" hidden="false" customHeight="false" outlineLevel="0" collapsed="false">
      <c r="A22" s="10" t="s">
        <v>199</v>
      </c>
      <c r="B22" s="10" t="s">
        <v>83</v>
      </c>
      <c r="C22" s="10" t="s">
        <v>200</v>
      </c>
      <c r="D22" s="18" t="str">
        <f aca="false">IFERROR(INDEX(03_Progress_Tracker!$I$6:$I$191,MATCH(D$4&amp;"|"&amp;$A22,03_Progress_Tracker!$A$6:$A$191,0)),"")</f>
        <v>NS</v>
      </c>
      <c r="E22" s="18" t="str">
        <f aca="false">IFERROR(INDEX(03_Progress_Tracker!$I$6:$I$191,MATCH(E$4&amp;"|"&amp;$A22,03_Progress_Tracker!$A$6:$A$191,0)),"")</f>
        <v>NS</v>
      </c>
      <c r="F22" s="18" t="str">
        <f aca="false">IFERROR(INDEX(03_Progress_Tracker!$I$6:$I$191,MATCH(F$4&amp;"|"&amp;$A22,03_Progress_Tracker!$A$6:$A$191,0)),"")</f>
        <v>NS</v>
      </c>
      <c r="G22" s="18" t="str">
        <f aca="false">IFERROR(INDEX(03_Progress_Tracker!$I$6:$I$191,MATCH(G$4&amp;"|"&amp;$A22,03_Progress_Tracker!$A$6:$A$191,0)),"")</f>
        <v>NS</v>
      </c>
      <c r="H22" s="18" t="str">
        <f aca="false">IFERROR(INDEX(03_Progress_Tracker!$I$6:$I$191,MATCH(H$4&amp;"|"&amp;$A22,03_Progress_Tracker!$A$6:$A$191,0)),"")</f>
        <v>NS</v>
      </c>
      <c r="I22" s="18" t="str">
        <f aca="false">IFERROR(INDEX(03_Progress_Tracker!$I$6:$I$191,MATCH(I$4&amp;"|"&amp;$A22,03_Progress_Tracker!$A$6:$A$191,0)),"")</f>
        <v>NS</v>
      </c>
    </row>
    <row r="23" customFormat="false" ht="23.85" hidden="false" customHeight="false" outlineLevel="0" collapsed="false">
      <c r="A23" s="10" t="s">
        <v>204</v>
      </c>
      <c r="B23" s="10" t="s">
        <v>83</v>
      </c>
      <c r="C23" s="10" t="s">
        <v>205</v>
      </c>
      <c r="D23" s="18" t="str">
        <f aca="false">IFERROR(INDEX(03_Progress_Tracker!$I$6:$I$191,MATCH(D$4&amp;"|"&amp;$A23,03_Progress_Tracker!$A$6:$A$191,0)),"")</f>
        <v>NS</v>
      </c>
      <c r="E23" s="18" t="str">
        <f aca="false">IFERROR(INDEX(03_Progress_Tracker!$I$6:$I$191,MATCH(E$4&amp;"|"&amp;$A23,03_Progress_Tracker!$A$6:$A$191,0)),"")</f>
        <v>NS</v>
      </c>
      <c r="F23" s="18" t="str">
        <f aca="false">IFERROR(INDEX(03_Progress_Tracker!$I$6:$I$191,MATCH(F$4&amp;"|"&amp;$A23,03_Progress_Tracker!$A$6:$A$191,0)),"")</f>
        <v>C</v>
      </c>
      <c r="G23" s="18" t="str">
        <f aca="false">IFERROR(INDEX(03_Progress_Tracker!$I$6:$I$191,MATCH(G$4&amp;"|"&amp;$A23,03_Progress_Tracker!$A$6:$A$191,0)),"")</f>
        <v>C</v>
      </c>
      <c r="H23" s="18" t="str">
        <f aca="false">IFERROR(INDEX(03_Progress_Tracker!$I$6:$I$191,MATCH(H$4&amp;"|"&amp;$A23,03_Progress_Tracker!$A$6:$A$191,0)),"")</f>
        <v>NS</v>
      </c>
      <c r="I23" s="18" t="str">
        <f aca="false">IFERROR(INDEX(03_Progress_Tracker!$I$6:$I$191,MATCH(I$4&amp;"|"&amp;$A23,03_Progress_Tracker!$A$6:$A$191,0)),"")</f>
        <v>NS</v>
      </c>
    </row>
    <row r="24" customFormat="false" ht="23.85" hidden="false" customHeight="false" outlineLevel="0" collapsed="false">
      <c r="A24" s="10" t="s">
        <v>208</v>
      </c>
      <c r="B24" s="10" t="s">
        <v>83</v>
      </c>
      <c r="C24" s="10" t="s">
        <v>209</v>
      </c>
      <c r="D24" s="18" t="str">
        <f aca="false">IFERROR(INDEX(03_Progress_Tracker!$I$6:$I$191,MATCH(D$4&amp;"|"&amp;$A24,03_Progress_Tracker!$A$6:$A$191,0)),"")</f>
        <v>NS</v>
      </c>
      <c r="E24" s="18" t="str">
        <f aca="false">IFERROR(INDEX(03_Progress_Tracker!$I$6:$I$191,MATCH(E$4&amp;"|"&amp;$A24,03_Progress_Tracker!$A$6:$A$191,0)),"")</f>
        <v>NS</v>
      </c>
      <c r="F24" s="18" t="str">
        <f aca="false">IFERROR(INDEX(03_Progress_Tracker!$I$6:$I$191,MATCH(F$4&amp;"|"&amp;$A24,03_Progress_Tracker!$A$6:$A$191,0)),"")</f>
        <v>NS</v>
      </c>
      <c r="G24" s="18" t="str">
        <f aca="false">IFERROR(INDEX(03_Progress_Tracker!$I$6:$I$191,MATCH(G$4&amp;"|"&amp;$A24,03_Progress_Tracker!$A$6:$A$191,0)),"")</f>
        <v>NS</v>
      </c>
      <c r="H24" s="18" t="str">
        <f aca="false">IFERROR(INDEX(03_Progress_Tracker!$I$6:$I$191,MATCH(H$4&amp;"|"&amp;$A24,03_Progress_Tracker!$A$6:$A$191,0)),"")</f>
        <v>NS</v>
      </c>
      <c r="I24" s="18" t="str">
        <f aca="false">IFERROR(INDEX(03_Progress_Tracker!$I$6:$I$191,MATCH(I$4&amp;"|"&amp;$A24,03_Progress_Tracker!$A$6:$A$191,0)),"")</f>
        <v>NS</v>
      </c>
    </row>
    <row r="25" customFormat="false" ht="23.85" hidden="false" customHeight="false" outlineLevel="0" collapsed="false">
      <c r="A25" s="10" t="s">
        <v>213</v>
      </c>
      <c r="B25" s="10" t="s">
        <v>83</v>
      </c>
      <c r="C25" s="10" t="s">
        <v>214</v>
      </c>
      <c r="D25" s="18" t="str">
        <f aca="false">IFERROR(INDEX(03_Progress_Tracker!$I$6:$I$191,MATCH(D$4&amp;"|"&amp;$A25,03_Progress_Tracker!$A$6:$A$191,0)),"")</f>
        <v>NS</v>
      </c>
      <c r="E25" s="18" t="str">
        <f aca="false">IFERROR(INDEX(03_Progress_Tracker!$I$6:$I$191,MATCH(E$4&amp;"|"&amp;$A25,03_Progress_Tracker!$A$6:$A$191,0)),"")</f>
        <v>NS</v>
      </c>
      <c r="F25" s="18" t="str">
        <f aca="false">IFERROR(INDEX(03_Progress_Tracker!$I$6:$I$191,MATCH(F$4&amp;"|"&amp;$A25,03_Progress_Tracker!$A$6:$A$191,0)),"")</f>
        <v>NS</v>
      </c>
      <c r="G25" s="18" t="str">
        <f aca="false">IFERROR(INDEX(03_Progress_Tracker!$I$6:$I$191,MATCH(G$4&amp;"|"&amp;$A25,03_Progress_Tracker!$A$6:$A$191,0)),"")</f>
        <v>NS</v>
      </c>
      <c r="H25" s="18" t="str">
        <f aca="false">IFERROR(INDEX(03_Progress_Tracker!$I$6:$I$191,MATCH(H$4&amp;"|"&amp;$A25,03_Progress_Tracker!$A$6:$A$191,0)),"")</f>
        <v>NS</v>
      </c>
      <c r="I25" s="18" t="str">
        <f aca="false">IFERROR(INDEX(03_Progress_Tracker!$I$6:$I$191,MATCH(I$4&amp;"|"&amp;$A25,03_Progress_Tracker!$A$6:$A$191,0)),"")</f>
        <v>NS</v>
      </c>
    </row>
    <row r="26" customFormat="false" ht="23.85" hidden="false" customHeight="false" outlineLevel="0" collapsed="false">
      <c r="A26" s="10" t="s">
        <v>218</v>
      </c>
      <c r="B26" s="10" t="s">
        <v>92</v>
      </c>
      <c r="C26" s="10" t="s">
        <v>219</v>
      </c>
      <c r="D26" s="18" t="str">
        <f aca="false">IFERROR(INDEX(03_Progress_Tracker!$I$6:$I$191,MATCH(D$4&amp;"|"&amp;$A26,03_Progress_Tracker!$A$6:$A$191,0)),"")</f>
        <v>NS</v>
      </c>
      <c r="E26" s="18" t="str">
        <f aca="false">IFERROR(INDEX(03_Progress_Tracker!$I$6:$I$191,MATCH(E$4&amp;"|"&amp;$A26,03_Progress_Tracker!$A$6:$A$191,0)),"")</f>
        <v>NS</v>
      </c>
      <c r="F26" s="18" t="str">
        <f aca="false">IFERROR(INDEX(03_Progress_Tracker!$I$6:$I$191,MATCH(F$4&amp;"|"&amp;$A26,03_Progress_Tracker!$A$6:$A$191,0)),"")</f>
        <v>IP</v>
      </c>
      <c r="G26" s="18" t="str">
        <f aca="false">IFERROR(INDEX(03_Progress_Tracker!$I$6:$I$191,MATCH(G$4&amp;"|"&amp;$A26,03_Progress_Tracker!$A$6:$A$191,0)),"")</f>
        <v>C</v>
      </c>
      <c r="H26" s="18" t="str">
        <f aca="false">IFERROR(INDEX(03_Progress_Tracker!$I$6:$I$191,MATCH(H$4&amp;"|"&amp;$A26,03_Progress_Tracker!$A$6:$A$191,0)),"")</f>
        <v>NS</v>
      </c>
      <c r="I26" s="18" t="str">
        <f aca="false">IFERROR(INDEX(03_Progress_Tracker!$I$6:$I$191,MATCH(I$4&amp;"|"&amp;$A26,03_Progress_Tracker!$A$6:$A$191,0)),"")</f>
        <v>NS</v>
      </c>
    </row>
    <row r="27" customFormat="false" ht="23.85" hidden="false" customHeight="false" outlineLevel="0" collapsed="false">
      <c r="A27" s="10" t="s">
        <v>224</v>
      </c>
      <c r="B27" s="10" t="s">
        <v>92</v>
      </c>
      <c r="C27" s="10" t="s">
        <v>225</v>
      </c>
      <c r="D27" s="18" t="str">
        <f aca="false">IFERROR(INDEX(03_Progress_Tracker!$I$6:$I$191,MATCH(D$4&amp;"|"&amp;$A27,03_Progress_Tracker!$A$6:$A$191,0)),"")</f>
        <v>NS</v>
      </c>
      <c r="E27" s="18" t="str">
        <f aca="false">IFERROR(INDEX(03_Progress_Tracker!$I$6:$I$191,MATCH(E$4&amp;"|"&amp;$A27,03_Progress_Tracker!$A$6:$A$191,0)),"")</f>
        <v>NS</v>
      </c>
      <c r="F27" s="18" t="str">
        <f aca="false">IFERROR(INDEX(03_Progress_Tracker!$I$6:$I$191,MATCH(F$4&amp;"|"&amp;$A27,03_Progress_Tracker!$A$6:$A$191,0)),"")</f>
        <v>IP</v>
      </c>
      <c r="G27" s="18" t="str">
        <f aca="false">IFERROR(INDEX(03_Progress_Tracker!$I$6:$I$191,MATCH(G$4&amp;"|"&amp;$A27,03_Progress_Tracker!$A$6:$A$191,0)),"")</f>
        <v>C</v>
      </c>
      <c r="H27" s="18" t="str">
        <f aca="false">IFERROR(INDEX(03_Progress_Tracker!$I$6:$I$191,MATCH(H$4&amp;"|"&amp;$A27,03_Progress_Tracker!$A$6:$A$191,0)),"")</f>
        <v>NS</v>
      </c>
      <c r="I27" s="18" t="str">
        <f aca="false">IFERROR(INDEX(03_Progress_Tracker!$I$6:$I$191,MATCH(I$4&amp;"|"&amp;$A27,03_Progress_Tracker!$A$6:$A$191,0)),"")</f>
        <v>NS</v>
      </c>
    </row>
    <row r="28" customFormat="false" ht="23.85" hidden="false" customHeight="false" outlineLevel="0" collapsed="false">
      <c r="A28" s="10" t="s">
        <v>229</v>
      </c>
      <c r="B28" s="10" t="s">
        <v>92</v>
      </c>
      <c r="C28" s="10" t="s">
        <v>230</v>
      </c>
      <c r="D28" s="18" t="str">
        <f aca="false">IFERROR(INDEX(03_Progress_Tracker!$I$6:$I$191,MATCH(D$4&amp;"|"&amp;$A28,03_Progress_Tracker!$A$6:$A$191,0)),"")</f>
        <v>NS</v>
      </c>
      <c r="E28" s="18" t="str">
        <f aca="false">IFERROR(INDEX(03_Progress_Tracker!$I$6:$I$191,MATCH(E$4&amp;"|"&amp;$A28,03_Progress_Tracker!$A$6:$A$191,0)),"")</f>
        <v>NS</v>
      </c>
      <c r="F28" s="18" t="str">
        <f aca="false">IFERROR(INDEX(03_Progress_Tracker!$I$6:$I$191,MATCH(F$4&amp;"|"&amp;$A28,03_Progress_Tracker!$A$6:$A$191,0)),"")</f>
        <v>NS</v>
      </c>
      <c r="G28" s="18" t="str">
        <f aca="false">IFERROR(INDEX(03_Progress_Tracker!$I$6:$I$191,MATCH(G$4&amp;"|"&amp;$A28,03_Progress_Tracker!$A$6:$A$191,0)),"")</f>
        <v>C</v>
      </c>
      <c r="H28" s="18" t="str">
        <f aca="false">IFERROR(INDEX(03_Progress_Tracker!$I$6:$I$191,MATCH(H$4&amp;"|"&amp;$A28,03_Progress_Tracker!$A$6:$A$191,0)),"")</f>
        <v>NS</v>
      </c>
      <c r="I28" s="18" t="str">
        <f aca="false">IFERROR(INDEX(03_Progress_Tracker!$I$6:$I$191,MATCH(I$4&amp;"|"&amp;$A28,03_Progress_Tracker!$A$6:$A$191,0)),"")</f>
        <v>NS</v>
      </c>
    </row>
    <row r="29" customFormat="false" ht="23.85" hidden="false" customHeight="false" outlineLevel="0" collapsed="false">
      <c r="A29" s="10" t="s">
        <v>234</v>
      </c>
      <c r="B29" s="10" t="s">
        <v>92</v>
      </c>
      <c r="C29" s="10" t="s">
        <v>235</v>
      </c>
      <c r="D29" s="18" t="str">
        <f aca="false">IFERROR(INDEX(03_Progress_Tracker!$I$6:$I$191,MATCH(D$4&amp;"|"&amp;$A29,03_Progress_Tracker!$A$6:$A$191,0)),"")</f>
        <v>NS</v>
      </c>
      <c r="E29" s="18" t="str">
        <f aca="false">IFERROR(INDEX(03_Progress_Tracker!$I$6:$I$191,MATCH(E$4&amp;"|"&amp;$A29,03_Progress_Tracker!$A$6:$A$191,0)),"")</f>
        <v>NS</v>
      </c>
      <c r="F29" s="18" t="str">
        <f aca="false">IFERROR(INDEX(03_Progress_Tracker!$I$6:$I$191,MATCH(F$4&amp;"|"&amp;$A29,03_Progress_Tracker!$A$6:$A$191,0)),"")</f>
        <v>NS</v>
      </c>
      <c r="G29" s="18" t="str">
        <f aca="false">IFERROR(INDEX(03_Progress_Tracker!$I$6:$I$191,MATCH(G$4&amp;"|"&amp;$A29,03_Progress_Tracker!$A$6:$A$191,0)),"")</f>
        <v>IP</v>
      </c>
      <c r="H29" s="18" t="str">
        <f aca="false">IFERROR(INDEX(03_Progress_Tracker!$I$6:$I$191,MATCH(H$4&amp;"|"&amp;$A29,03_Progress_Tracker!$A$6:$A$191,0)),"")</f>
        <v>NS</v>
      </c>
      <c r="I29" s="18" t="str">
        <f aca="false">IFERROR(INDEX(03_Progress_Tracker!$I$6:$I$191,MATCH(I$4&amp;"|"&amp;$A29,03_Progress_Tracker!$A$6:$A$191,0)),"")</f>
        <v>NS</v>
      </c>
    </row>
    <row r="30" customFormat="false" ht="23.85" hidden="false" customHeight="false" outlineLevel="0" collapsed="false">
      <c r="A30" s="10" t="s">
        <v>239</v>
      </c>
      <c r="B30" s="10" t="s">
        <v>240</v>
      </c>
      <c r="C30" s="10" t="s">
        <v>241</v>
      </c>
      <c r="D30" s="18" t="str">
        <f aca="false">IFERROR(INDEX(03_Progress_Tracker!$I$6:$I$191,MATCH(D$4&amp;"|"&amp;$A30,03_Progress_Tracker!$A$6:$A$191,0)),"")</f>
        <v>NS</v>
      </c>
      <c r="E30" s="18" t="str">
        <f aca="false">IFERROR(INDEX(03_Progress_Tracker!$I$6:$I$191,MATCH(E$4&amp;"|"&amp;$A30,03_Progress_Tracker!$A$6:$A$191,0)),"")</f>
        <v>NS</v>
      </c>
      <c r="F30" s="18" t="str">
        <f aca="false">IFERROR(INDEX(03_Progress_Tracker!$I$6:$I$191,MATCH(F$4&amp;"|"&amp;$A30,03_Progress_Tracker!$A$6:$A$191,0)),"")</f>
        <v>NS</v>
      </c>
      <c r="G30" s="18" t="str">
        <f aca="false">IFERROR(INDEX(03_Progress_Tracker!$I$6:$I$191,MATCH(G$4&amp;"|"&amp;$A30,03_Progress_Tracker!$A$6:$A$191,0)),"")</f>
        <v>NS</v>
      </c>
      <c r="H30" s="18" t="str">
        <f aca="false">IFERROR(INDEX(03_Progress_Tracker!$I$6:$I$191,MATCH(H$4&amp;"|"&amp;$A30,03_Progress_Tracker!$A$6:$A$191,0)),"")</f>
        <v>NS</v>
      </c>
      <c r="I30" s="18" t="str">
        <f aca="false">IFERROR(INDEX(03_Progress_Tracker!$I$6:$I$191,MATCH(I$4&amp;"|"&amp;$A30,03_Progress_Tracker!$A$6:$A$191,0)),"")</f>
        <v>NS</v>
      </c>
    </row>
    <row r="31" customFormat="false" ht="23.85" hidden="false" customHeight="false" outlineLevel="0" collapsed="false">
      <c r="A31" s="10" t="s">
        <v>245</v>
      </c>
      <c r="B31" s="10" t="s">
        <v>240</v>
      </c>
      <c r="C31" s="10" t="s">
        <v>246</v>
      </c>
      <c r="D31" s="18" t="str">
        <f aca="false">IFERROR(INDEX(03_Progress_Tracker!$I$6:$I$191,MATCH(D$4&amp;"|"&amp;$A31,03_Progress_Tracker!$A$6:$A$191,0)),"")</f>
        <v>NS</v>
      </c>
      <c r="E31" s="18" t="str">
        <f aca="false">IFERROR(INDEX(03_Progress_Tracker!$I$6:$I$191,MATCH(E$4&amp;"|"&amp;$A31,03_Progress_Tracker!$A$6:$A$191,0)),"")</f>
        <v>NS</v>
      </c>
      <c r="F31" s="18" t="str">
        <f aca="false">IFERROR(INDEX(03_Progress_Tracker!$I$6:$I$191,MATCH(F$4&amp;"|"&amp;$A31,03_Progress_Tracker!$A$6:$A$191,0)),"")</f>
        <v>NS</v>
      </c>
      <c r="G31" s="18" t="str">
        <f aca="false">IFERROR(INDEX(03_Progress_Tracker!$I$6:$I$191,MATCH(G$4&amp;"|"&amp;$A31,03_Progress_Tracker!$A$6:$A$191,0)),"")</f>
        <v>NS</v>
      </c>
      <c r="H31" s="18" t="str">
        <f aca="false">IFERROR(INDEX(03_Progress_Tracker!$I$6:$I$191,MATCH(H$4&amp;"|"&amp;$A31,03_Progress_Tracker!$A$6:$A$191,0)),"")</f>
        <v>NS</v>
      </c>
      <c r="I31" s="18" t="str">
        <f aca="false">IFERROR(INDEX(03_Progress_Tracker!$I$6:$I$191,MATCH(I$4&amp;"|"&amp;$A31,03_Progress_Tracker!$A$6:$A$191,0)),"")</f>
        <v>NS</v>
      </c>
    </row>
    <row r="32" customFormat="false" ht="23.85" hidden="false" customHeight="false" outlineLevel="0" collapsed="false">
      <c r="A32" s="10" t="s">
        <v>249</v>
      </c>
      <c r="B32" s="10" t="s">
        <v>240</v>
      </c>
      <c r="C32" s="10" t="s">
        <v>250</v>
      </c>
      <c r="D32" s="18" t="str">
        <f aca="false">IFERROR(INDEX(03_Progress_Tracker!$I$6:$I$191,MATCH(D$4&amp;"|"&amp;$A32,03_Progress_Tracker!$A$6:$A$191,0)),"")</f>
        <v>NS</v>
      </c>
      <c r="E32" s="18" t="str">
        <f aca="false">IFERROR(INDEX(03_Progress_Tracker!$I$6:$I$191,MATCH(E$4&amp;"|"&amp;$A32,03_Progress_Tracker!$A$6:$A$191,0)),"")</f>
        <v>NS</v>
      </c>
      <c r="F32" s="18" t="str">
        <f aca="false">IFERROR(INDEX(03_Progress_Tracker!$I$6:$I$191,MATCH(F$4&amp;"|"&amp;$A32,03_Progress_Tracker!$A$6:$A$191,0)),"")</f>
        <v>NS</v>
      </c>
      <c r="G32" s="18" t="str">
        <f aca="false">IFERROR(INDEX(03_Progress_Tracker!$I$6:$I$191,MATCH(G$4&amp;"|"&amp;$A32,03_Progress_Tracker!$A$6:$A$191,0)),"")</f>
        <v>NS</v>
      </c>
      <c r="H32" s="18" t="str">
        <f aca="false">IFERROR(INDEX(03_Progress_Tracker!$I$6:$I$191,MATCH(H$4&amp;"|"&amp;$A32,03_Progress_Tracker!$A$6:$A$191,0)),"")</f>
        <v>NS</v>
      </c>
      <c r="I32" s="18" t="str">
        <f aca="false">IFERROR(INDEX(03_Progress_Tracker!$I$6:$I$191,MATCH(I$4&amp;"|"&amp;$A32,03_Progress_Tracker!$A$6:$A$191,0)),"")</f>
        <v>NS</v>
      </c>
    </row>
    <row r="33" customFormat="false" ht="23.85" hidden="false" customHeight="false" outlineLevel="0" collapsed="false">
      <c r="A33" s="10" t="s">
        <v>254</v>
      </c>
      <c r="B33" s="10" t="s">
        <v>240</v>
      </c>
      <c r="C33" s="10" t="s">
        <v>255</v>
      </c>
      <c r="D33" s="18" t="str">
        <f aca="false">IFERROR(INDEX(03_Progress_Tracker!$I$6:$I$191,MATCH(D$4&amp;"|"&amp;$A33,03_Progress_Tracker!$A$6:$A$191,0)),"")</f>
        <v>NS</v>
      </c>
      <c r="E33" s="18" t="str">
        <f aca="false">IFERROR(INDEX(03_Progress_Tracker!$I$6:$I$191,MATCH(E$4&amp;"|"&amp;$A33,03_Progress_Tracker!$A$6:$A$191,0)),"")</f>
        <v>NS</v>
      </c>
      <c r="F33" s="18" t="str">
        <f aca="false">IFERROR(INDEX(03_Progress_Tracker!$I$6:$I$191,MATCH(F$4&amp;"|"&amp;$A33,03_Progress_Tracker!$A$6:$A$191,0)),"")</f>
        <v>NS</v>
      </c>
      <c r="G33" s="18" t="str">
        <f aca="false">IFERROR(INDEX(03_Progress_Tracker!$I$6:$I$191,MATCH(G$4&amp;"|"&amp;$A33,03_Progress_Tracker!$A$6:$A$191,0)),"")</f>
        <v>NS</v>
      </c>
      <c r="H33" s="18" t="str">
        <f aca="false">IFERROR(INDEX(03_Progress_Tracker!$I$6:$I$191,MATCH(H$4&amp;"|"&amp;$A33,03_Progress_Tracker!$A$6:$A$191,0)),"")</f>
        <v>NS</v>
      </c>
      <c r="I33" s="18" t="str">
        <f aca="false">IFERROR(INDEX(03_Progress_Tracker!$I$6:$I$191,MATCH(I$4&amp;"|"&amp;$A33,03_Progress_Tracker!$A$6:$A$191,0)),"")</f>
        <v>NS</v>
      </c>
    </row>
    <row r="34" customFormat="false" ht="23.85" hidden="false" customHeight="false" outlineLevel="0" collapsed="false">
      <c r="A34" s="10" t="s">
        <v>258</v>
      </c>
      <c r="B34" s="10" t="s">
        <v>240</v>
      </c>
      <c r="C34" s="10" t="s">
        <v>259</v>
      </c>
      <c r="D34" s="18" t="str">
        <f aca="false">IFERROR(INDEX(03_Progress_Tracker!$I$6:$I$191,MATCH(D$4&amp;"|"&amp;$A34,03_Progress_Tracker!$A$6:$A$191,0)),"")</f>
        <v>NS</v>
      </c>
      <c r="E34" s="18" t="str">
        <f aca="false">IFERROR(INDEX(03_Progress_Tracker!$I$6:$I$191,MATCH(E$4&amp;"|"&amp;$A34,03_Progress_Tracker!$A$6:$A$191,0)),"")</f>
        <v>NS</v>
      </c>
      <c r="F34" s="18" t="str">
        <f aca="false">IFERROR(INDEX(03_Progress_Tracker!$I$6:$I$191,MATCH(F$4&amp;"|"&amp;$A34,03_Progress_Tracker!$A$6:$A$191,0)),"")</f>
        <v>NS</v>
      </c>
      <c r="G34" s="18" t="str">
        <f aca="false">IFERROR(INDEX(03_Progress_Tracker!$I$6:$I$191,MATCH(G$4&amp;"|"&amp;$A34,03_Progress_Tracker!$A$6:$A$191,0)),"")</f>
        <v>NS</v>
      </c>
      <c r="H34" s="18" t="str">
        <f aca="false">IFERROR(INDEX(03_Progress_Tracker!$I$6:$I$191,MATCH(H$4&amp;"|"&amp;$A34,03_Progress_Tracker!$A$6:$A$191,0)),"")</f>
        <v>NS</v>
      </c>
      <c r="I34" s="18" t="str">
        <f aca="false">IFERROR(INDEX(03_Progress_Tracker!$I$6:$I$191,MATCH(I$4&amp;"|"&amp;$A34,03_Progress_Tracker!$A$6:$A$191,0)),"")</f>
        <v>NS</v>
      </c>
    </row>
    <row r="35" customFormat="false" ht="23.85" hidden="false" customHeight="false" outlineLevel="0" collapsed="false">
      <c r="A35" s="10" t="s">
        <v>264</v>
      </c>
      <c r="B35" s="10" t="s">
        <v>240</v>
      </c>
      <c r="C35" s="10" t="s">
        <v>265</v>
      </c>
      <c r="D35" s="18" t="str">
        <f aca="false">IFERROR(INDEX(03_Progress_Tracker!$I$6:$I$191,MATCH(D$4&amp;"|"&amp;$A35,03_Progress_Tracker!$A$6:$A$191,0)),"")</f>
        <v>NS</v>
      </c>
      <c r="E35" s="18" t="str">
        <f aca="false">IFERROR(INDEX(03_Progress_Tracker!$I$6:$I$191,MATCH(E$4&amp;"|"&amp;$A35,03_Progress_Tracker!$A$6:$A$191,0)),"")</f>
        <v>NS</v>
      </c>
      <c r="F35" s="18" t="str">
        <f aca="false">IFERROR(INDEX(03_Progress_Tracker!$I$6:$I$191,MATCH(F$4&amp;"|"&amp;$A35,03_Progress_Tracker!$A$6:$A$191,0)),"")</f>
        <v>NS</v>
      </c>
      <c r="G35" s="18" t="str">
        <f aca="false">IFERROR(INDEX(03_Progress_Tracker!$I$6:$I$191,MATCH(G$4&amp;"|"&amp;$A35,03_Progress_Tracker!$A$6:$A$191,0)),"")</f>
        <v>NS</v>
      </c>
      <c r="H35" s="18" t="str">
        <f aca="false">IFERROR(INDEX(03_Progress_Tracker!$I$6:$I$191,MATCH(H$4&amp;"|"&amp;$A35,03_Progress_Tracker!$A$6:$A$191,0)),"")</f>
        <v>NS</v>
      </c>
      <c r="I35" s="18" t="str">
        <f aca="false">IFERROR(INDEX(03_Progress_Tracker!$I$6:$I$191,MATCH(I$4&amp;"|"&amp;$A35,03_Progress_Tracker!$A$6:$A$191,0)),"")</f>
        <v>NS</v>
      </c>
    </row>
    <row r="36" customFormat="false" ht="23.85" hidden="false" customHeight="false" outlineLevel="0" collapsed="false">
      <c r="A36" s="10" t="s">
        <v>269</v>
      </c>
      <c r="B36" s="10" t="s">
        <v>240</v>
      </c>
      <c r="C36" s="10" t="s">
        <v>270</v>
      </c>
      <c r="D36" s="18" t="str">
        <f aca="false">IFERROR(INDEX(03_Progress_Tracker!$I$6:$I$191,MATCH(D$4&amp;"|"&amp;$A36,03_Progress_Tracker!$A$6:$A$191,0)),"")</f>
        <v>NS</v>
      </c>
      <c r="E36" s="18" t="str">
        <f aca="false">IFERROR(INDEX(03_Progress_Tracker!$I$6:$I$191,MATCH(E$4&amp;"|"&amp;$A36,03_Progress_Tracker!$A$6:$A$191,0)),"")</f>
        <v>NS</v>
      </c>
      <c r="F36" s="18" t="str">
        <f aca="false">IFERROR(INDEX(03_Progress_Tracker!$I$6:$I$191,MATCH(F$4&amp;"|"&amp;$A36,03_Progress_Tracker!$A$6:$A$191,0)),"")</f>
        <v>NS</v>
      </c>
      <c r="G36" s="18" t="str">
        <f aca="false">IFERROR(INDEX(03_Progress_Tracker!$I$6:$I$191,MATCH(G$4&amp;"|"&amp;$A36,03_Progress_Tracker!$A$6:$A$191,0)),"")</f>
        <v>NS</v>
      </c>
      <c r="H36" s="18" t="str">
        <f aca="false">IFERROR(INDEX(03_Progress_Tracker!$I$6:$I$191,MATCH(H$4&amp;"|"&amp;$A36,03_Progress_Tracker!$A$6:$A$191,0)),"")</f>
        <v>NS</v>
      </c>
      <c r="I36" s="18" t="str">
        <f aca="false">IFERROR(INDEX(03_Progress_Tracker!$I$6:$I$191,MATCH(I$4&amp;"|"&amp;$A36,03_Progress_Tracker!$A$6:$A$191,0)),"")</f>
        <v>NS</v>
      </c>
    </row>
    <row r="38" customFormat="false" ht="15" hidden="false" customHeight="false" outlineLevel="0" collapsed="false">
      <c r="C38" s="19" t="s">
        <v>302</v>
      </c>
      <c r="D38" s="20" t="n">
        <f aca="false">COUNTIFS(03_Progress_Tracker!$B$6:$B$191,D$4)-COUNTIFS(03_Progress_Tracker!$B$6:$B$191,D$4,03_Progress_Tracker!$I$6:$I$191,"NA")</f>
        <v>31</v>
      </c>
      <c r="E38" s="20" t="n">
        <f aca="false">COUNTIFS(03_Progress_Tracker!$B$6:$B$191,E$4)-COUNTIFS(03_Progress_Tracker!$B$6:$B$191,E$4,03_Progress_Tracker!$I$6:$I$191,"NA")</f>
        <v>31</v>
      </c>
      <c r="F38" s="20" t="n">
        <f aca="false">COUNTIFS(03_Progress_Tracker!$B$6:$B$191,F$4)-COUNTIFS(03_Progress_Tracker!$B$6:$B$191,F$4,03_Progress_Tracker!$I$6:$I$191,"NA")</f>
        <v>31</v>
      </c>
      <c r="G38" s="20" t="n">
        <f aca="false">COUNTIFS(03_Progress_Tracker!$B$6:$B$191,G$4)-COUNTIFS(03_Progress_Tracker!$B$6:$B$191,G$4,03_Progress_Tracker!$I$6:$I$191,"NA")</f>
        <v>31</v>
      </c>
      <c r="H38" s="20" t="n">
        <f aca="false">COUNTIFS(03_Progress_Tracker!$B$6:$B$191,H$4)-COUNTIFS(03_Progress_Tracker!$B$6:$B$191,H$4,03_Progress_Tracker!$I$6:$I$191,"NA")</f>
        <v>31</v>
      </c>
      <c r="I38" s="20" t="n">
        <f aca="false">COUNTIFS(03_Progress_Tracker!$B$6:$B$191,I$4)-COUNTIFS(03_Progress_Tracker!$B$6:$B$191,I$4,03_Progress_Tracker!$I$6:$I$191,"NA")</f>
        <v>31</v>
      </c>
    </row>
    <row r="39" customFormat="false" ht="15" hidden="false" customHeight="false" outlineLevel="0" collapsed="false">
      <c r="C39" s="19" t="s">
        <v>303</v>
      </c>
      <c r="D39" s="20" t="n">
        <f aca="false">COUNTIFS(03_Progress_Tracker!$B$6:$B$191,D$4,03_Progress_Tracker!$I$6:$I$191,"C")</f>
        <v>7</v>
      </c>
      <c r="E39" s="20" t="n">
        <f aca="false">COUNTIFS(03_Progress_Tracker!$B$6:$B$191,E$4,03_Progress_Tracker!$I$6:$I$191,"C")</f>
        <v>3</v>
      </c>
      <c r="F39" s="20" t="n">
        <f aca="false">COUNTIFS(03_Progress_Tracker!$B$6:$B$191,F$4,03_Progress_Tracker!$I$6:$I$191,"C")</f>
        <v>9</v>
      </c>
      <c r="G39" s="20" t="n">
        <f aca="false">COUNTIFS(03_Progress_Tracker!$B$6:$B$191,G$4,03_Progress_Tracker!$I$6:$I$191,"C")</f>
        <v>12</v>
      </c>
      <c r="H39" s="20" t="n">
        <f aca="false">COUNTIFS(03_Progress_Tracker!$B$6:$B$191,H$4,03_Progress_Tracker!$I$6:$I$191,"C")</f>
        <v>3</v>
      </c>
      <c r="I39" s="20" t="n">
        <f aca="false">COUNTIFS(03_Progress_Tracker!$B$6:$B$191,I$4,03_Progress_Tracker!$I$6:$I$191,"C")</f>
        <v>2</v>
      </c>
    </row>
    <row r="40" customFormat="false" ht="15" hidden="false" customHeight="false" outlineLevel="0" collapsed="false">
      <c r="C40" s="19" t="s">
        <v>304</v>
      </c>
      <c r="D40" s="20" t="n">
        <f aca="false">COUNTIFS(03_Progress_Tracker!$B$6:$B$191,D$4,03_Progress_Tracker!$I$6:$I$191,"IP")</f>
        <v>1</v>
      </c>
      <c r="E40" s="20" t="n">
        <f aca="false">COUNTIFS(03_Progress_Tracker!$B$6:$B$191,E$4,03_Progress_Tracker!$I$6:$I$191,"IP")</f>
        <v>2</v>
      </c>
      <c r="F40" s="20" t="n">
        <f aca="false">COUNTIFS(03_Progress_Tracker!$B$6:$B$191,F$4,03_Progress_Tracker!$I$6:$I$191,"IP")</f>
        <v>2</v>
      </c>
      <c r="G40" s="20" t="n">
        <f aca="false">COUNTIFS(03_Progress_Tracker!$B$6:$B$191,G$4,03_Progress_Tracker!$I$6:$I$191,"IP")</f>
        <v>1</v>
      </c>
      <c r="H40" s="20" t="n">
        <f aca="false">COUNTIFS(03_Progress_Tracker!$B$6:$B$191,H$4,03_Progress_Tracker!$I$6:$I$191,"IP")</f>
        <v>2</v>
      </c>
      <c r="I40" s="20" t="n">
        <f aca="false">COUNTIFS(03_Progress_Tracker!$B$6:$B$191,I$4,03_Progress_Tracker!$I$6:$I$191,"IP")</f>
        <v>1</v>
      </c>
    </row>
    <row r="41" customFormat="false" ht="15" hidden="false" customHeight="false" outlineLevel="0" collapsed="false">
      <c r="C41" s="19" t="s">
        <v>305</v>
      </c>
      <c r="D41" s="20" t="n">
        <f aca="false">COUNTIFS(03_Progress_Tracker!$B$6:$B$191,D$4,03_Progress_Tracker!$I$6:$I$191,"D")</f>
        <v>0</v>
      </c>
      <c r="E41" s="20" t="n">
        <f aca="false">COUNTIFS(03_Progress_Tracker!$B$6:$B$191,E$4,03_Progress_Tracker!$I$6:$I$191,"D")</f>
        <v>0</v>
      </c>
      <c r="F41" s="20" t="n">
        <f aca="false">COUNTIFS(03_Progress_Tracker!$B$6:$B$191,F$4,03_Progress_Tracker!$I$6:$I$191,"D")</f>
        <v>0</v>
      </c>
      <c r="G41" s="20" t="n">
        <f aca="false">COUNTIFS(03_Progress_Tracker!$B$6:$B$191,G$4,03_Progress_Tracker!$I$6:$I$191,"D")</f>
        <v>0</v>
      </c>
      <c r="H41" s="20" t="n">
        <f aca="false">COUNTIFS(03_Progress_Tracker!$B$6:$B$191,H$4,03_Progress_Tracker!$I$6:$I$191,"D")</f>
        <v>2</v>
      </c>
      <c r="I41" s="20" t="n">
        <f aca="false">COUNTIFS(03_Progress_Tracker!$B$6:$B$191,I$4,03_Progress_Tracker!$I$6:$I$191,"D")</f>
        <v>0</v>
      </c>
    </row>
    <row r="42" customFormat="false" ht="15" hidden="false" customHeight="false" outlineLevel="0" collapsed="false">
      <c r="C42" s="19" t="s">
        <v>306</v>
      </c>
      <c r="D42" s="21" t="n">
        <f aca="false">IFERROR(D39/D38,"")</f>
        <v>0.225806451612903</v>
      </c>
      <c r="E42" s="21" t="n">
        <f aca="false">IFERROR(E39/E38,"")</f>
        <v>0.0967741935483871</v>
      </c>
      <c r="F42" s="21" t="n">
        <f aca="false">IFERROR(F39/F38,"")</f>
        <v>0.290322580645161</v>
      </c>
      <c r="G42" s="21" t="n">
        <f aca="false">IFERROR(G39/G38,"")</f>
        <v>0.387096774193548</v>
      </c>
      <c r="H42" s="21" t="n">
        <f aca="false">IFERROR(H39/H38,"")</f>
        <v>0.0967741935483871</v>
      </c>
      <c r="I42" s="21" t="n">
        <f aca="false">IFERROR(I39/I38,"")</f>
        <v>0.0645161290322581</v>
      </c>
    </row>
    <row r="43" customFormat="false" ht="15" hidden="false" customHeight="false" outlineLevel="0" collapsed="false">
      <c r="C43" s="19" t="s">
        <v>307</v>
      </c>
      <c r="D43" s="21" t="n">
        <f aca="false">IFERROR(SUMPRODUCT((03_Progress_Tracker!$B$6:$B$191=D$4)*(03_Progress_Tracker!$I$6:$I$191&lt;&gt;"NA")*03_Progress_Tracker!$J$6:$J$191*IF(03_Progress_Tracker!$K$6:$K$191="",0,03_Progress_Tracker!$K$6:$K$191))/SUMPRODUCT((03_Progress_Tracker!$B$6:$B$191=D$4)*(03_Progress_Tracker!$I$6:$I$191&lt;&gt;"NA")*03_Progress_Tracker!$J$6:$J$191),"")</f>
        <v>0.241935483870968</v>
      </c>
      <c r="E43" s="21" t="n">
        <f aca="false">IFERROR(SUMPRODUCT((03_Progress_Tracker!$B$6:$B$191=E$4)*(03_Progress_Tracker!$I$6:$I$191&lt;&gt;"NA")*03_Progress_Tracker!$J$6:$J$191*IF(03_Progress_Tracker!$K$6:$K$191="",0,03_Progress_Tracker!$K$6:$K$191))/SUMPRODUCT((03_Progress_Tracker!$B$6:$B$191=E$4)*(03_Progress_Tracker!$I$6:$I$191&lt;&gt;"NA")*03_Progress_Tracker!$J$6:$J$191),"")</f>
        <v>0.129032258064516</v>
      </c>
      <c r="F43" s="21" t="n">
        <f aca="false">IFERROR(SUMPRODUCT((03_Progress_Tracker!$B$6:$B$191=F$4)*(03_Progress_Tracker!$I$6:$I$191&lt;&gt;"NA")*03_Progress_Tracker!$J$6:$J$191*IF(03_Progress_Tracker!$K$6:$K$191="",0,03_Progress_Tracker!$K$6:$K$191))/SUMPRODUCT((03_Progress_Tracker!$B$6:$B$191=F$4)*(03_Progress_Tracker!$I$6:$I$191&lt;&gt;"NA")*03_Progress_Tracker!$J$6:$J$191),"")</f>
        <v>0.32258064516129</v>
      </c>
      <c r="G43" s="21" t="n">
        <f aca="false">IFERROR(SUMPRODUCT((03_Progress_Tracker!$B$6:$B$191=G$4)*(03_Progress_Tracker!$I$6:$I$191&lt;&gt;"NA")*03_Progress_Tracker!$J$6:$J$191*IF(03_Progress_Tracker!$K$6:$K$191="",0,03_Progress_Tracker!$K$6:$K$191))/SUMPRODUCT((03_Progress_Tracker!$B$6:$B$191=G$4)*(03_Progress_Tracker!$I$6:$I$191&lt;&gt;"NA")*03_Progress_Tracker!$J$6:$J$191),"")</f>
        <v>0.403225806451613</v>
      </c>
      <c r="H43" s="21" t="n">
        <f aca="false">IFERROR(SUMPRODUCT((03_Progress_Tracker!$B$6:$B$191=H$4)*(03_Progress_Tracker!$I$6:$I$191&lt;&gt;"NA")*03_Progress_Tracker!$J$6:$J$191*IF(03_Progress_Tracker!$K$6:$K$191="",0,03_Progress_Tracker!$K$6:$K$191))/SUMPRODUCT((03_Progress_Tracker!$B$6:$B$191=H$4)*(03_Progress_Tracker!$I$6:$I$191&lt;&gt;"NA")*03_Progress_Tracker!$J$6:$J$191),"")</f>
        <v>0.145161290322581</v>
      </c>
      <c r="I43" s="21" t="n">
        <f aca="false">IFERROR(SUMPRODUCT((03_Progress_Tracker!$B$6:$B$191=I$4)*(03_Progress_Tracker!$I$6:$I$191&lt;&gt;"NA")*03_Progress_Tracker!$J$6:$J$191*IF(03_Progress_Tracker!$K$6:$K$191="",0,03_Progress_Tracker!$K$6:$K$191))/SUMPRODUCT((03_Progress_Tracker!$B$6:$B$191=I$4)*(03_Progress_Tracker!$I$6:$I$191&lt;&gt;"NA")*03_Progress_Tracker!$J$6:$J$191),"")</f>
        <v>0.0806451612903226</v>
      </c>
    </row>
    <row r="44" customFormat="false" ht="15" hidden="false" customHeight="false" outlineLevel="0" collapsed="false">
      <c r="C44" s="19" t="s">
        <v>308</v>
      </c>
      <c r="D44" s="21" t="n">
        <f aca="false">IFERROR(COUNTIFS(03_Progress_Tracker!$B$6:$B$191,D$4,03_Progress_Tracker!$I$6:$I$191,"C",03_Progress_Tracker!$M$6:$M$191,"Yes")/D39,"")</f>
        <v>0</v>
      </c>
      <c r="E44" s="21" t="n">
        <f aca="false">IFERROR(COUNTIFS(03_Progress_Tracker!$B$6:$B$191,E$4,03_Progress_Tracker!$I$6:$I$191,"C",03_Progress_Tracker!$M$6:$M$191,"Yes")/E39,"")</f>
        <v>0</v>
      </c>
      <c r="F44" s="21" t="n">
        <f aca="false">IFERROR(COUNTIFS(03_Progress_Tracker!$B$6:$B$191,F$4,03_Progress_Tracker!$I$6:$I$191,"C",03_Progress_Tracker!$M$6:$M$191,"Yes")/F39,"")</f>
        <v>0</v>
      </c>
      <c r="G44" s="21" t="n">
        <f aca="false">IFERROR(COUNTIFS(03_Progress_Tracker!$B$6:$B$191,G$4,03_Progress_Tracker!$I$6:$I$191,"C",03_Progress_Tracker!$M$6:$M$191,"Yes")/G39,"")</f>
        <v>0</v>
      </c>
      <c r="H44" s="21" t="n">
        <f aca="false">IFERROR(COUNTIFS(03_Progress_Tracker!$B$6:$B$191,H$4,03_Progress_Tracker!$I$6:$I$191,"C",03_Progress_Tracker!$M$6:$M$191,"Yes")/H39,"")</f>
        <v>0</v>
      </c>
      <c r="I44" s="21" t="n">
        <f aca="false">IFERROR(COUNTIFS(03_Progress_Tracker!$B$6:$B$191,I$4,03_Progress_Tracker!$I$6:$I$191,"C",03_Progress_Tracker!$M$6:$M$191,"Yes")/I39,"")</f>
        <v>0</v>
      </c>
    </row>
  </sheetData>
  <conditionalFormatting sqref="D6:I36">
    <cfRule type="cellIs" priority="2" operator="equal" aboveAverage="0" equalAverage="0" bottom="0" percent="0" rank="0" text="" dxfId="7">
      <formula>"C"</formula>
    </cfRule>
    <cfRule type="cellIs" priority="3" operator="equal" aboveAverage="0" equalAverage="0" bottom="0" percent="0" rank="0" text="" dxfId="8">
      <formula>"IP"</formula>
    </cfRule>
    <cfRule type="cellIs" priority="4" operator="equal" aboveAverage="0" equalAverage="0" bottom="0" percent="0" rank="0" text="" dxfId="9">
      <formula>"D"</formula>
    </cfRule>
    <cfRule type="cellIs" priority="5" operator="equal" aboveAverage="0" equalAverage="0" bottom="0" percent="0" rank="0" text="" dxfId="10">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52"/>
    <col collapsed="false" customWidth="true" hidden="false" outlineLevel="0" max="4" min="4" style="0" width="12"/>
    <col collapsed="false" customWidth="true" hidden="false" outlineLevel="0" max="5" min="5" style="0" width="26"/>
    <col collapsed="false" customWidth="true" hidden="false" outlineLevel="0" max="6" min="6" style="0" width="15"/>
    <col collapsed="false" customWidth="true" hidden="false" outlineLevel="0" max="7" min="7" style="0" width="8"/>
    <col collapsed="false" customWidth="true" hidden="false" outlineLevel="0" max="9" min="8" style="0" width="16"/>
    <col collapsed="false" customWidth="true" hidden="false" outlineLevel="0" max="10" min="10" style="0" width="12"/>
    <col collapsed="false" customWidth="true" hidden="false" outlineLevel="0" max="11" min="11" style="0" width="10"/>
    <col collapsed="false" customWidth="true" hidden="false" outlineLevel="0" max="12" min="12" style="0" width="11"/>
    <col collapsed="false" customWidth="true" hidden="false" outlineLevel="0" max="13" min="13" style="0" width="10"/>
    <col collapsed="false" customWidth="true" hidden="false" outlineLevel="0" max="14" min="14" style="0" width="14"/>
    <col collapsed="false" customWidth="true" hidden="false" outlineLevel="0" max="15" min="15" style="0" width="13"/>
    <col collapsed="false" customWidth="true" hidden="false" outlineLevel="0" max="16" min="16" style="0" width="22"/>
    <col collapsed="false" customWidth="true" hidden="false" outlineLevel="0" max="17" min="17" style="0" width="14"/>
    <col collapsed="false" customWidth="true" hidden="false" outlineLevel="0" max="18" min="18" style="0" width="30"/>
  </cols>
  <sheetData>
    <row r="1" customFormat="false" ht="17.35" hidden="false" customHeight="false" outlineLevel="0" collapsed="false">
      <c r="A1" s="7" t="s">
        <v>60</v>
      </c>
    </row>
    <row r="2" customFormat="false" ht="15" hidden="false" customHeight="false" outlineLevel="0" collapsed="false">
      <c r="A2" s="8" t="s">
        <v>309</v>
      </c>
    </row>
    <row r="3" customFormat="false" ht="15" hidden="false" customHeight="false" outlineLevel="0" collapsed="false">
      <c r="A3" s="3" t="s">
        <v>62</v>
      </c>
    </row>
    <row r="5" customFormat="false" ht="31.5" hidden="false" customHeight="true" outlineLevel="0" collapsed="false">
      <c r="A5" s="9" t="s">
        <v>310</v>
      </c>
      <c r="B5" s="9" t="s">
        <v>311</v>
      </c>
      <c r="C5" s="9" t="s">
        <v>312</v>
      </c>
      <c r="D5" s="9" t="s">
        <v>313</v>
      </c>
      <c r="E5" s="9" t="s">
        <v>314</v>
      </c>
      <c r="F5" s="9" t="s">
        <v>315</v>
      </c>
      <c r="G5" s="9" t="s">
        <v>63</v>
      </c>
      <c r="H5" s="9" t="s">
        <v>277</v>
      </c>
      <c r="I5" s="9" t="s">
        <v>316</v>
      </c>
      <c r="J5" s="9" t="s">
        <v>317</v>
      </c>
      <c r="K5" s="9" t="s">
        <v>318</v>
      </c>
      <c r="L5" s="9" t="s">
        <v>319</v>
      </c>
      <c r="M5" s="9" t="s">
        <v>320</v>
      </c>
      <c r="N5" s="9" t="s">
        <v>321</v>
      </c>
      <c r="O5" s="9" t="s">
        <v>322</v>
      </c>
      <c r="P5" s="9" t="s">
        <v>323</v>
      </c>
      <c r="Q5" s="9" t="s">
        <v>324</v>
      </c>
      <c r="R5" s="9" t="s">
        <v>325</v>
      </c>
    </row>
    <row r="6" customFormat="false" ht="22.35" hidden="false" customHeight="false" outlineLevel="0" collapsed="false">
      <c r="A6" s="22" t="s">
        <v>326</v>
      </c>
      <c r="B6" s="22" t="s">
        <v>327</v>
      </c>
      <c r="C6" s="22" t="s">
        <v>328</v>
      </c>
      <c r="D6" s="22" t="s">
        <v>329</v>
      </c>
      <c r="E6" s="22" t="s">
        <v>330</v>
      </c>
      <c r="F6" s="22" t="s">
        <v>331</v>
      </c>
      <c r="G6" s="22" t="s">
        <v>332</v>
      </c>
      <c r="H6" s="22" t="s">
        <v>333</v>
      </c>
      <c r="I6" s="22" t="s">
        <v>334</v>
      </c>
      <c r="J6" s="23" t="n">
        <v>0.28</v>
      </c>
      <c r="K6" s="22" t="n">
        <v>2024</v>
      </c>
      <c r="L6" s="23" t="n">
        <v>0.8</v>
      </c>
      <c r="M6" s="22" t="n">
        <v>2031</v>
      </c>
      <c r="N6" s="23" t="n">
        <v>0.34</v>
      </c>
      <c r="O6" s="24" t="n">
        <v>46203</v>
      </c>
      <c r="P6" s="22" t="s">
        <v>335</v>
      </c>
      <c r="Q6" s="22" t="s">
        <v>336</v>
      </c>
      <c r="R6" s="22" t="s">
        <v>337</v>
      </c>
    </row>
    <row r="7" customFormat="false" ht="23.85" hidden="false" customHeight="false" outlineLevel="0" collapsed="false">
      <c r="A7" s="10" t="s">
        <v>326</v>
      </c>
      <c r="B7" s="10" t="s">
        <v>327</v>
      </c>
      <c r="C7" s="10" t="s">
        <v>338</v>
      </c>
      <c r="D7" s="10" t="s">
        <v>329</v>
      </c>
      <c r="E7" s="10" t="s">
        <v>330</v>
      </c>
      <c r="F7" s="10" t="s">
        <v>331</v>
      </c>
      <c r="G7" s="10" t="s">
        <v>77</v>
      </c>
      <c r="H7" s="10" t="s">
        <v>78</v>
      </c>
      <c r="I7" s="11" t="s">
        <v>339</v>
      </c>
      <c r="J7" s="25"/>
      <c r="K7" s="11"/>
      <c r="L7" s="25"/>
      <c r="M7" s="11"/>
      <c r="N7" s="25"/>
      <c r="O7" s="12"/>
      <c r="P7" s="11"/>
      <c r="Q7" s="11"/>
      <c r="R7" s="11"/>
    </row>
    <row r="8" customFormat="false" ht="23.85" hidden="false" customHeight="false" outlineLevel="0" collapsed="false">
      <c r="A8" s="10" t="s">
        <v>340</v>
      </c>
      <c r="B8" s="10" t="s">
        <v>327</v>
      </c>
      <c r="C8" s="10" t="s">
        <v>341</v>
      </c>
      <c r="D8" s="10" t="s">
        <v>329</v>
      </c>
      <c r="E8" s="10" t="s">
        <v>330</v>
      </c>
      <c r="F8" s="10" t="s">
        <v>331</v>
      </c>
      <c r="G8" s="10" t="s">
        <v>77</v>
      </c>
      <c r="H8" s="10" t="s">
        <v>78</v>
      </c>
      <c r="I8" s="11" t="s">
        <v>339</v>
      </c>
      <c r="J8" s="25"/>
      <c r="K8" s="11"/>
      <c r="L8" s="25"/>
      <c r="M8" s="11"/>
      <c r="N8" s="25"/>
      <c r="O8" s="12"/>
      <c r="P8" s="11"/>
      <c r="Q8" s="11"/>
      <c r="R8" s="11"/>
    </row>
    <row r="9" customFormat="false" ht="15" hidden="false" customHeight="false" outlineLevel="0" collapsed="false">
      <c r="A9" s="10" t="s">
        <v>342</v>
      </c>
      <c r="B9" s="10" t="s">
        <v>327</v>
      </c>
      <c r="C9" s="10" t="s">
        <v>343</v>
      </c>
      <c r="D9" s="10" t="s">
        <v>329</v>
      </c>
      <c r="E9" s="10" t="s">
        <v>344</v>
      </c>
      <c r="F9" s="10" t="s">
        <v>331</v>
      </c>
      <c r="G9" s="10" t="s">
        <v>77</v>
      </c>
      <c r="H9" s="10" t="s">
        <v>78</v>
      </c>
      <c r="I9" s="11" t="s">
        <v>339</v>
      </c>
      <c r="J9" s="25"/>
      <c r="K9" s="11"/>
      <c r="L9" s="25"/>
      <c r="M9" s="11"/>
      <c r="N9" s="25"/>
      <c r="O9" s="12"/>
      <c r="P9" s="11"/>
      <c r="Q9" s="11"/>
      <c r="R9" s="11"/>
    </row>
    <row r="10" customFormat="false" ht="15" hidden="false" customHeight="false" outlineLevel="0" collapsed="false">
      <c r="A10" s="10" t="s">
        <v>345</v>
      </c>
      <c r="B10" s="10" t="s">
        <v>327</v>
      </c>
      <c r="C10" s="10" t="s">
        <v>346</v>
      </c>
      <c r="D10" s="10" t="s">
        <v>329</v>
      </c>
      <c r="E10" s="10" t="s">
        <v>344</v>
      </c>
      <c r="F10" s="10" t="s">
        <v>331</v>
      </c>
      <c r="G10" s="10" t="s">
        <v>77</v>
      </c>
      <c r="H10" s="10" t="s">
        <v>78</v>
      </c>
      <c r="I10" s="11" t="s">
        <v>339</v>
      </c>
      <c r="J10" s="25"/>
      <c r="K10" s="11"/>
      <c r="L10" s="25"/>
      <c r="M10" s="11"/>
      <c r="N10" s="25"/>
      <c r="O10" s="12"/>
      <c r="P10" s="11"/>
      <c r="Q10" s="11"/>
      <c r="R10" s="11"/>
    </row>
    <row r="11" customFormat="false" ht="23.85" hidden="false" customHeight="false" outlineLevel="0" collapsed="false">
      <c r="A11" s="10" t="s">
        <v>347</v>
      </c>
      <c r="B11" s="10" t="s">
        <v>327</v>
      </c>
      <c r="C11" s="10" t="s">
        <v>348</v>
      </c>
      <c r="D11" s="10" t="s">
        <v>329</v>
      </c>
      <c r="E11" s="10" t="s">
        <v>330</v>
      </c>
      <c r="F11" s="10" t="s">
        <v>331</v>
      </c>
      <c r="G11" s="10" t="s">
        <v>77</v>
      </c>
      <c r="H11" s="10" t="s">
        <v>78</v>
      </c>
      <c r="I11" s="11" t="s">
        <v>339</v>
      </c>
      <c r="J11" s="25"/>
      <c r="K11" s="11"/>
      <c r="L11" s="25"/>
      <c r="M11" s="11"/>
      <c r="N11" s="25"/>
      <c r="O11" s="12"/>
      <c r="P11" s="11"/>
      <c r="Q11" s="11"/>
      <c r="R11" s="11"/>
    </row>
    <row r="12" customFormat="false" ht="23.85" hidden="false" customHeight="false" outlineLevel="0" collapsed="false">
      <c r="A12" s="10" t="s">
        <v>349</v>
      </c>
      <c r="B12" s="10" t="s">
        <v>327</v>
      </c>
      <c r="C12" s="10" t="s">
        <v>350</v>
      </c>
      <c r="D12" s="10" t="s">
        <v>329</v>
      </c>
      <c r="E12" s="10" t="s">
        <v>351</v>
      </c>
      <c r="F12" s="10" t="s">
        <v>331</v>
      </c>
      <c r="G12" s="10" t="s">
        <v>77</v>
      </c>
      <c r="H12" s="10" t="s">
        <v>78</v>
      </c>
      <c r="I12" s="11" t="s">
        <v>339</v>
      </c>
      <c r="J12" s="25"/>
      <c r="K12" s="11"/>
      <c r="L12" s="25"/>
      <c r="M12" s="11"/>
      <c r="N12" s="25"/>
      <c r="O12" s="12"/>
      <c r="P12" s="11"/>
      <c r="Q12" s="11"/>
      <c r="R12" s="11"/>
    </row>
    <row r="13" customFormat="false" ht="23.85" hidden="false" customHeight="false" outlineLevel="0" collapsed="false">
      <c r="A13" s="10" t="s">
        <v>352</v>
      </c>
      <c r="B13" s="10" t="s">
        <v>327</v>
      </c>
      <c r="C13" s="10" t="s">
        <v>353</v>
      </c>
      <c r="D13" s="10" t="s">
        <v>354</v>
      </c>
      <c r="E13" s="10" t="s">
        <v>355</v>
      </c>
      <c r="F13" s="10" t="s">
        <v>356</v>
      </c>
      <c r="G13" s="10" t="s">
        <v>77</v>
      </c>
      <c r="H13" s="10" t="s">
        <v>78</v>
      </c>
      <c r="I13" s="11" t="s">
        <v>339</v>
      </c>
      <c r="J13" s="11"/>
      <c r="K13" s="11"/>
      <c r="L13" s="11"/>
      <c r="M13" s="11"/>
      <c r="N13" s="11"/>
      <c r="O13" s="12"/>
      <c r="P13" s="11"/>
      <c r="Q13" s="11"/>
      <c r="R13" s="11"/>
    </row>
    <row r="14" customFormat="false" ht="23.85" hidden="false" customHeight="false" outlineLevel="0" collapsed="false">
      <c r="A14" s="10" t="s">
        <v>357</v>
      </c>
      <c r="B14" s="10" t="s">
        <v>358</v>
      </c>
      <c r="C14" s="10" t="s">
        <v>359</v>
      </c>
      <c r="D14" s="10" t="s">
        <v>360</v>
      </c>
      <c r="E14" s="10" t="s">
        <v>361</v>
      </c>
      <c r="F14" s="10" t="s">
        <v>356</v>
      </c>
      <c r="G14" s="10" t="s">
        <v>77</v>
      </c>
      <c r="H14" s="10" t="s">
        <v>78</v>
      </c>
      <c r="I14" s="11" t="s">
        <v>339</v>
      </c>
      <c r="J14" s="26"/>
      <c r="K14" s="11"/>
      <c r="L14" s="26"/>
      <c r="M14" s="11"/>
      <c r="N14" s="26"/>
      <c r="O14" s="12"/>
      <c r="P14" s="11"/>
      <c r="Q14" s="11"/>
      <c r="R14" s="11"/>
    </row>
    <row r="15" customFormat="false" ht="23.85" hidden="false" customHeight="false" outlineLevel="0" collapsed="false">
      <c r="A15" s="10" t="s">
        <v>362</v>
      </c>
      <c r="B15" s="10" t="s">
        <v>358</v>
      </c>
      <c r="C15" s="10" t="s">
        <v>363</v>
      </c>
      <c r="D15" s="10" t="s">
        <v>360</v>
      </c>
      <c r="E15" s="10" t="s">
        <v>361</v>
      </c>
      <c r="F15" s="10" t="s">
        <v>356</v>
      </c>
      <c r="G15" s="10" t="s">
        <v>77</v>
      </c>
      <c r="H15" s="10" t="s">
        <v>78</v>
      </c>
      <c r="I15" s="11" t="s">
        <v>339</v>
      </c>
      <c r="J15" s="26"/>
      <c r="K15" s="11"/>
      <c r="L15" s="26"/>
      <c r="M15" s="11"/>
      <c r="N15" s="26"/>
      <c r="O15" s="12"/>
      <c r="P15" s="11"/>
      <c r="Q15" s="11"/>
      <c r="R15" s="11"/>
    </row>
    <row r="16" customFormat="false" ht="15" hidden="false" customHeight="false" outlineLevel="0" collapsed="false">
      <c r="A16" s="10" t="s">
        <v>364</v>
      </c>
      <c r="B16" s="10" t="s">
        <v>358</v>
      </c>
      <c r="C16" s="10" t="s">
        <v>365</v>
      </c>
      <c r="D16" s="10" t="s">
        <v>360</v>
      </c>
      <c r="E16" s="10" t="s">
        <v>361</v>
      </c>
      <c r="F16" s="10" t="s">
        <v>356</v>
      </c>
      <c r="G16" s="10" t="s">
        <v>77</v>
      </c>
      <c r="H16" s="10" t="s">
        <v>78</v>
      </c>
      <c r="I16" s="11" t="s">
        <v>339</v>
      </c>
      <c r="J16" s="26"/>
      <c r="K16" s="11"/>
      <c r="L16" s="26"/>
      <c r="M16" s="11"/>
      <c r="N16" s="26"/>
      <c r="O16" s="12"/>
      <c r="P16" s="11"/>
      <c r="Q16" s="11"/>
      <c r="R16" s="11"/>
    </row>
    <row r="17" customFormat="false" ht="15" hidden="false" customHeight="false" outlineLevel="0" collapsed="false">
      <c r="A17" s="10" t="s">
        <v>366</v>
      </c>
      <c r="B17" s="10" t="s">
        <v>358</v>
      </c>
      <c r="C17" s="10" t="s">
        <v>367</v>
      </c>
      <c r="D17" s="10" t="s">
        <v>360</v>
      </c>
      <c r="E17" s="10" t="s">
        <v>361</v>
      </c>
      <c r="F17" s="10" t="s">
        <v>356</v>
      </c>
      <c r="G17" s="10" t="s">
        <v>77</v>
      </c>
      <c r="H17" s="10" t="s">
        <v>78</v>
      </c>
      <c r="I17" s="11" t="s">
        <v>339</v>
      </c>
      <c r="J17" s="26"/>
      <c r="K17" s="11"/>
      <c r="L17" s="26"/>
      <c r="M17" s="11"/>
      <c r="N17" s="26"/>
      <c r="O17" s="12"/>
      <c r="P17" s="11"/>
      <c r="Q17" s="11"/>
      <c r="R17" s="11"/>
    </row>
    <row r="18" customFormat="false" ht="23.85" hidden="false" customHeight="false" outlineLevel="0" collapsed="false">
      <c r="A18" s="10" t="s">
        <v>368</v>
      </c>
      <c r="B18" s="10" t="s">
        <v>358</v>
      </c>
      <c r="C18" s="10" t="s">
        <v>369</v>
      </c>
      <c r="D18" s="10" t="s">
        <v>360</v>
      </c>
      <c r="E18" s="10" t="s">
        <v>370</v>
      </c>
      <c r="F18" s="10" t="s">
        <v>356</v>
      </c>
      <c r="G18" s="10" t="s">
        <v>77</v>
      </c>
      <c r="H18" s="10" t="s">
        <v>78</v>
      </c>
      <c r="I18" s="11" t="s">
        <v>339</v>
      </c>
      <c r="J18" s="26"/>
      <c r="K18" s="11"/>
      <c r="L18" s="26"/>
      <c r="M18" s="11"/>
      <c r="N18" s="26"/>
      <c r="O18" s="12"/>
      <c r="P18" s="11"/>
      <c r="Q18" s="11"/>
      <c r="R18" s="11"/>
    </row>
    <row r="19" customFormat="false" ht="23.85" hidden="false" customHeight="false" outlineLevel="0" collapsed="false">
      <c r="A19" s="10" t="s">
        <v>371</v>
      </c>
      <c r="B19" s="10" t="s">
        <v>358</v>
      </c>
      <c r="C19" s="10" t="s">
        <v>372</v>
      </c>
      <c r="D19" s="10" t="s">
        <v>329</v>
      </c>
      <c r="E19" s="10" t="s">
        <v>373</v>
      </c>
      <c r="F19" s="10" t="s">
        <v>356</v>
      </c>
      <c r="G19" s="10" t="s">
        <v>77</v>
      </c>
      <c r="H19" s="10" t="s">
        <v>78</v>
      </c>
      <c r="I19" s="11" t="s">
        <v>339</v>
      </c>
      <c r="J19" s="25"/>
      <c r="K19" s="11"/>
      <c r="L19" s="25"/>
      <c r="M19" s="11"/>
      <c r="N19" s="25"/>
      <c r="O19" s="12"/>
      <c r="P19" s="11"/>
      <c r="Q19" s="11"/>
      <c r="R19" s="11"/>
    </row>
    <row r="20" customFormat="false" ht="35.05" hidden="false" customHeight="false" outlineLevel="0" collapsed="false">
      <c r="A20" s="10" t="s">
        <v>374</v>
      </c>
      <c r="B20" s="10" t="s">
        <v>375</v>
      </c>
      <c r="C20" s="10" t="s">
        <v>376</v>
      </c>
      <c r="D20" s="10" t="s">
        <v>377</v>
      </c>
      <c r="E20" s="10" t="s">
        <v>378</v>
      </c>
      <c r="F20" s="10" t="s">
        <v>356</v>
      </c>
      <c r="G20" s="10" t="s">
        <v>77</v>
      </c>
      <c r="H20" s="10" t="s">
        <v>78</v>
      </c>
      <c r="I20" s="11" t="s">
        <v>339</v>
      </c>
      <c r="J20" s="11"/>
      <c r="K20" s="11"/>
      <c r="L20" s="11"/>
      <c r="M20" s="11"/>
      <c r="N20" s="11"/>
      <c r="O20" s="12"/>
      <c r="P20" s="11"/>
      <c r="Q20" s="11"/>
      <c r="R20" s="11"/>
    </row>
    <row r="21" customFormat="false" ht="23.85" hidden="false" customHeight="false" outlineLevel="0" collapsed="false">
      <c r="A21" s="10" t="s">
        <v>379</v>
      </c>
      <c r="B21" s="10" t="s">
        <v>375</v>
      </c>
      <c r="C21" s="10" t="s">
        <v>380</v>
      </c>
      <c r="D21" s="10" t="s">
        <v>377</v>
      </c>
      <c r="E21" s="10" t="s">
        <v>378</v>
      </c>
      <c r="F21" s="10" t="s">
        <v>356</v>
      </c>
      <c r="G21" s="10" t="s">
        <v>77</v>
      </c>
      <c r="H21" s="10" t="s">
        <v>78</v>
      </c>
      <c r="I21" s="11" t="s">
        <v>339</v>
      </c>
      <c r="J21" s="11"/>
      <c r="K21" s="11"/>
      <c r="L21" s="11"/>
      <c r="M21" s="11"/>
      <c r="N21" s="11"/>
      <c r="O21" s="12"/>
      <c r="P21" s="11"/>
      <c r="Q21" s="11"/>
      <c r="R21" s="11"/>
    </row>
    <row r="22" customFormat="false" ht="23.85" hidden="false" customHeight="false" outlineLevel="0" collapsed="false">
      <c r="A22" s="10" t="s">
        <v>381</v>
      </c>
      <c r="B22" s="10" t="s">
        <v>375</v>
      </c>
      <c r="C22" s="10" t="s">
        <v>382</v>
      </c>
      <c r="D22" s="10" t="s">
        <v>329</v>
      </c>
      <c r="E22" s="10" t="s">
        <v>378</v>
      </c>
      <c r="F22" s="10" t="s">
        <v>356</v>
      </c>
      <c r="G22" s="10" t="s">
        <v>77</v>
      </c>
      <c r="H22" s="10" t="s">
        <v>78</v>
      </c>
      <c r="I22" s="11" t="s">
        <v>339</v>
      </c>
      <c r="J22" s="25"/>
      <c r="K22" s="11"/>
      <c r="L22" s="25"/>
      <c r="M22" s="11"/>
      <c r="N22" s="25"/>
      <c r="O22" s="12"/>
      <c r="P22" s="11"/>
      <c r="Q22" s="11"/>
      <c r="R22" s="11"/>
    </row>
    <row r="23" customFormat="false" ht="23.85" hidden="false" customHeight="false" outlineLevel="0" collapsed="false">
      <c r="A23" s="10" t="s">
        <v>383</v>
      </c>
      <c r="B23" s="10" t="s">
        <v>384</v>
      </c>
      <c r="C23" s="10" t="s">
        <v>385</v>
      </c>
      <c r="D23" s="10" t="s">
        <v>386</v>
      </c>
      <c r="E23" s="10" t="s">
        <v>387</v>
      </c>
      <c r="F23" s="10" t="s">
        <v>388</v>
      </c>
      <c r="G23" s="10" t="s">
        <v>77</v>
      </c>
      <c r="H23" s="10" t="s">
        <v>78</v>
      </c>
      <c r="I23" s="11" t="s">
        <v>339</v>
      </c>
      <c r="J23" s="11"/>
      <c r="K23" s="11"/>
      <c r="L23" s="11"/>
      <c r="M23" s="11"/>
      <c r="N23" s="11"/>
      <c r="O23" s="12"/>
      <c r="P23" s="11"/>
      <c r="Q23" s="11"/>
      <c r="R23" s="11"/>
    </row>
    <row r="24" customFormat="false" ht="23.85" hidden="false" customHeight="false" outlineLevel="0" collapsed="false">
      <c r="A24" s="10" t="s">
        <v>389</v>
      </c>
      <c r="B24" s="10" t="s">
        <v>384</v>
      </c>
      <c r="C24" s="10" t="s">
        <v>390</v>
      </c>
      <c r="D24" s="10" t="s">
        <v>386</v>
      </c>
      <c r="E24" s="10" t="s">
        <v>391</v>
      </c>
      <c r="F24" s="10" t="s">
        <v>388</v>
      </c>
      <c r="G24" s="10" t="s">
        <v>77</v>
      </c>
      <c r="H24" s="10" t="s">
        <v>78</v>
      </c>
      <c r="I24" s="11" t="s">
        <v>339</v>
      </c>
      <c r="J24" s="11"/>
      <c r="K24" s="11"/>
      <c r="L24" s="11"/>
      <c r="M24" s="11"/>
      <c r="N24" s="11"/>
      <c r="O24" s="12"/>
      <c r="P24" s="11"/>
      <c r="Q24" s="11"/>
      <c r="R24" s="11"/>
    </row>
    <row r="25" customFormat="false" ht="23.85" hidden="false" customHeight="false" outlineLevel="0" collapsed="false">
      <c r="A25" s="10" t="s">
        <v>392</v>
      </c>
      <c r="B25" s="10" t="s">
        <v>384</v>
      </c>
      <c r="C25" s="10" t="s">
        <v>393</v>
      </c>
      <c r="D25" s="10" t="s">
        <v>394</v>
      </c>
      <c r="E25" s="10" t="s">
        <v>395</v>
      </c>
      <c r="F25" s="10" t="s">
        <v>331</v>
      </c>
      <c r="G25" s="10" t="s">
        <v>77</v>
      </c>
      <c r="H25" s="10" t="s">
        <v>78</v>
      </c>
      <c r="I25" s="11" t="s">
        <v>339</v>
      </c>
      <c r="J25" s="11"/>
      <c r="K25" s="11"/>
      <c r="L25" s="11"/>
      <c r="M25" s="11"/>
      <c r="N25" s="11"/>
      <c r="O25" s="12"/>
      <c r="P25" s="11"/>
      <c r="Q25" s="11"/>
      <c r="R25" s="11"/>
    </row>
    <row r="26" customFormat="false" ht="23.85" hidden="false" customHeight="false" outlineLevel="0" collapsed="false">
      <c r="A26" s="10" t="s">
        <v>396</v>
      </c>
      <c r="B26" s="10" t="s">
        <v>384</v>
      </c>
      <c r="C26" s="10" t="s">
        <v>397</v>
      </c>
      <c r="D26" s="10" t="s">
        <v>386</v>
      </c>
      <c r="E26" s="10" t="s">
        <v>398</v>
      </c>
      <c r="F26" s="10" t="s">
        <v>388</v>
      </c>
      <c r="G26" s="10" t="s">
        <v>77</v>
      </c>
      <c r="H26" s="10" t="s">
        <v>78</v>
      </c>
      <c r="I26" s="11" t="s">
        <v>339</v>
      </c>
      <c r="J26" s="11"/>
      <c r="K26" s="11"/>
      <c r="L26" s="11"/>
      <c r="M26" s="11"/>
      <c r="N26" s="11"/>
      <c r="O26" s="12"/>
      <c r="P26" s="11"/>
      <c r="Q26" s="11"/>
      <c r="R26" s="11"/>
    </row>
    <row r="27" customFormat="false" ht="23.85" hidden="false" customHeight="false" outlineLevel="0" collapsed="false">
      <c r="A27" s="10" t="s">
        <v>399</v>
      </c>
      <c r="B27" s="10" t="s">
        <v>384</v>
      </c>
      <c r="C27" s="10" t="s">
        <v>400</v>
      </c>
      <c r="D27" s="10" t="s">
        <v>386</v>
      </c>
      <c r="E27" s="10" t="s">
        <v>330</v>
      </c>
      <c r="F27" s="10" t="s">
        <v>388</v>
      </c>
      <c r="G27" s="10" t="s">
        <v>77</v>
      </c>
      <c r="H27" s="10" t="s">
        <v>78</v>
      </c>
      <c r="I27" s="11" t="s">
        <v>339</v>
      </c>
      <c r="J27" s="11"/>
      <c r="K27" s="11"/>
      <c r="L27" s="11"/>
      <c r="M27" s="11"/>
      <c r="N27" s="11"/>
      <c r="O27" s="12"/>
      <c r="P27" s="11"/>
      <c r="Q27" s="11"/>
      <c r="R27" s="11"/>
    </row>
    <row r="28" customFormat="false" ht="23.85" hidden="false" customHeight="false" outlineLevel="0" collapsed="false">
      <c r="A28" s="10" t="s">
        <v>401</v>
      </c>
      <c r="B28" s="10" t="s">
        <v>384</v>
      </c>
      <c r="C28" s="10" t="s">
        <v>402</v>
      </c>
      <c r="D28" s="10" t="s">
        <v>386</v>
      </c>
      <c r="E28" s="10" t="s">
        <v>403</v>
      </c>
      <c r="F28" s="10" t="s">
        <v>388</v>
      </c>
      <c r="G28" s="10" t="s">
        <v>77</v>
      </c>
      <c r="H28" s="10" t="s">
        <v>78</v>
      </c>
      <c r="I28" s="11" t="s">
        <v>339</v>
      </c>
      <c r="J28" s="11"/>
      <c r="K28" s="11"/>
      <c r="L28" s="11"/>
      <c r="M28" s="11"/>
      <c r="N28" s="11"/>
      <c r="O28" s="12"/>
      <c r="P28" s="11"/>
      <c r="Q28" s="11"/>
      <c r="R28" s="11"/>
    </row>
    <row r="29" customFormat="false" ht="15" hidden="false" customHeight="false" outlineLevel="0" collapsed="false">
      <c r="A29" s="10" t="s">
        <v>404</v>
      </c>
      <c r="B29" s="10" t="s">
        <v>384</v>
      </c>
      <c r="C29" s="10" t="s">
        <v>405</v>
      </c>
      <c r="D29" s="10" t="s">
        <v>386</v>
      </c>
      <c r="E29" s="10" t="s">
        <v>406</v>
      </c>
      <c r="F29" s="10" t="s">
        <v>388</v>
      </c>
      <c r="G29" s="10" t="s">
        <v>77</v>
      </c>
      <c r="H29" s="10" t="s">
        <v>78</v>
      </c>
      <c r="I29" s="11" t="s">
        <v>339</v>
      </c>
      <c r="J29" s="11"/>
      <c r="K29" s="11"/>
      <c r="L29" s="11"/>
      <c r="M29" s="11"/>
      <c r="N29" s="11"/>
      <c r="O29" s="12"/>
      <c r="P29" s="11"/>
      <c r="Q29" s="11"/>
      <c r="R29" s="11"/>
    </row>
    <row r="30" customFormat="false" ht="23.85" hidden="false" customHeight="false" outlineLevel="0" collapsed="false">
      <c r="A30" s="10" t="s">
        <v>407</v>
      </c>
      <c r="B30" s="10" t="s">
        <v>384</v>
      </c>
      <c r="C30" s="10" t="s">
        <v>408</v>
      </c>
      <c r="D30" s="10" t="s">
        <v>409</v>
      </c>
      <c r="E30" s="10" t="s">
        <v>410</v>
      </c>
      <c r="F30" s="10" t="s">
        <v>388</v>
      </c>
      <c r="G30" s="10" t="s">
        <v>77</v>
      </c>
      <c r="H30" s="10" t="s">
        <v>78</v>
      </c>
      <c r="I30" s="11" t="s">
        <v>339</v>
      </c>
      <c r="J30" s="11"/>
      <c r="K30" s="11"/>
      <c r="L30" s="11"/>
      <c r="M30" s="11"/>
      <c r="N30" s="11"/>
      <c r="O30" s="12"/>
      <c r="P30" s="11"/>
      <c r="Q30" s="11"/>
      <c r="R30" s="11"/>
    </row>
    <row r="31" customFormat="false" ht="23.85" hidden="false" customHeight="false" outlineLevel="0" collapsed="false">
      <c r="A31" s="10" t="s">
        <v>411</v>
      </c>
      <c r="B31" s="10" t="s">
        <v>384</v>
      </c>
      <c r="C31" s="10" t="s">
        <v>412</v>
      </c>
      <c r="D31" s="10" t="s">
        <v>413</v>
      </c>
      <c r="E31" s="10" t="s">
        <v>414</v>
      </c>
      <c r="F31" s="10" t="s">
        <v>331</v>
      </c>
      <c r="G31" s="10" t="s">
        <v>77</v>
      </c>
      <c r="H31" s="10" t="s">
        <v>78</v>
      </c>
      <c r="I31" s="11" t="s">
        <v>339</v>
      </c>
      <c r="J31" s="11"/>
      <c r="K31" s="11"/>
      <c r="L31" s="11"/>
      <c r="M31" s="11"/>
      <c r="N31" s="11"/>
      <c r="O31" s="12"/>
      <c r="P31" s="11"/>
      <c r="Q31" s="11"/>
      <c r="R31" s="11"/>
    </row>
    <row r="32" customFormat="false" ht="23.85" hidden="false" customHeight="false" outlineLevel="0" collapsed="false">
      <c r="A32" s="10" t="s">
        <v>415</v>
      </c>
      <c r="B32" s="10" t="s">
        <v>384</v>
      </c>
      <c r="C32" s="10" t="s">
        <v>416</v>
      </c>
      <c r="D32" s="10" t="s">
        <v>386</v>
      </c>
      <c r="E32" s="10" t="s">
        <v>417</v>
      </c>
      <c r="F32" s="10" t="s">
        <v>388</v>
      </c>
      <c r="G32" s="10" t="s">
        <v>77</v>
      </c>
      <c r="H32" s="10" t="s">
        <v>78</v>
      </c>
      <c r="I32" s="11" t="s">
        <v>339</v>
      </c>
      <c r="J32" s="11"/>
      <c r="K32" s="11"/>
      <c r="L32" s="11"/>
      <c r="M32" s="11"/>
      <c r="N32" s="11"/>
      <c r="O32" s="12"/>
      <c r="P32" s="11"/>
      <c r="Q32" s="11"/>
      <c r="R32" s="11"/>
    </row>
    <row r="33" customFormat="false" ht="23.85" hidden="false" customHeight="false" outlineLevel="0" collapsed="false">
      <c r="A33" s="10" t="s">
        <v>418</v>
      </c>
      <c r="B33" s="10" t="s">
        <v>384</v>
      </c>
      <c r="C33" s="10" t="s">
        <v>419</v>
      </c>
      <c r="D33" s="10" t="s">
        <v>386</v>
      </c>
      <c r="E33" s="10" t="s">
        <v>420</v>
      </c>
      <c r="F33" s="10" t="s">
        <v>388</v>
      </c>
      <c r="G33" s="10" t="s">
        <v>77</v>
      </c>
      <c r="H33" s="10" t="s">
        <v>78</v>
      </c>
      <c r="I33" s="11" t="s">
        <v>339</v>
      </c>
      <c r="J33" s="11"/>
      <c r="K33" s="11"/>
      <c r="L33" s="11"/>
      <c r="M33" s="11"/>
      <c r="N33" s="11"/>
      <c r="O33" s="12"/>
      <c r="P33" s="11"/>
      <c r="Q33" s="11"/>
      <c r="R33" s="11"/>
    </row>
    <row r="34" customFormat="false" ht="23.85" hidden="false" customHeight="false" outlineLevel="0" collapsed="false">
      <c r="A34" s="10" t="s">
        <v>421</v>
      </c>
      <c r="B34" s="10" t="s">
        <v>422</v>
      </c>
      <c r="C34" s="10" t="s">
        <v>423</v>
      </c>
      <c r="D34" s="10" t="s">
        <v>329</v>
      </c>
      <c r="E34" s="10" t="s">
        <v>424</v>
      </c>
      <c r="F34" s="10" t="s">
        <v>331</v>
      </c>
      <c r="G34" s="10" t="s">
        <v>77</v>
      </c>
      <c r="H34" s="10" t="s">
        <v>78</v>
      </c>
      <c r="I34" s="11" t="s">
        <v>339</v>
      </c>
      <c r="J34" s="25"/>
      <c r="K34" s="11"/>
      <c r="L34" s="25"/>
      <c r="M34" s="11"/>
      <c r="N34" s="25"/>
      <c r="O34" s="12"/>
      <c r="P34" s="11"/>
      <c r="Q34" s="11"/>
      <c r="R34" s="11"/>
    </row>
    <row r="35" customFormat="false" ht="23.85" hidden="false" customHeight="false" outlineLevel="0" collapsed="false">
      <c r="A35" s="10" t="s">
        <v>425</v>
      </c>
      <c r="B35" s="10" t="s">
        <v>422</v>
      </c>
      <c r="C35" s="10" t="s">
        <v>426</v>
      </c>
      <c r="D35" s="10" t="s">
        <v>329</v>
      </c>
      <c r="E35" s="10" t="s">
        <v>427</v>
      </c>
      <c r="F35" s="10" t="s">
        <v>331</v>
      </c>
      <c r="G35" s="10" t="s">
        <v>77</v>
      </c>
      <c r="H35" s="10" t="s">
        <v>78</v>
      </c>
      <c r="I35" s="11" t="s">
        <v>339</v>
      </c>
      <c r="J35" s="25"/>
      <c r="K35" s="11"/>
      <c r="L35" s="25"/>
      <c r="M35" s="11"/>
      <c r="N35" s="25"/>
      <c r="O35" s="12"/>
      <c r="P35" s="11"/>
      <c r="Q35" s="11"/>
      <c r="R35" s="11"/>
    </row>
    <row r="36" customFormat="false" ht="23.85" hidden="false" customHeight="false" outlineLevel="0" collapsed="false">
      <c r="A36" s="10" t="s">
        <v>428</v>
      </c>
      <c r="B36" s="10" t="s">
        <v>422</v>
      </c>
      <c r="C36" s="10" t="s">
        <v>429</v>
      </c>
      <c r="D36" s="10" t="s">
        <v>329</v>
      </c>
      <c r="E36" s="10" t="s">
        <v>430</v>
      </c>
      <c r="F36" s="10" t="s">
        <v>331</v>
      </c>
      <c r="G36" s="10" t="s">
        <v>77</v>
      </c>
      <c r="H36" s="10" t="s">
        <v>78</v>
      </c>
      <c r="I36" s="11" t="s">
        <v>339</v>
      </c>
      <c r="J36" s="25"/>
      <c r="K36" s="11"/>
      <c r="L36" s="25"/>
      <c r="M36" s="11"/>
      <c r="N36" s="25"/>
      <c r="O36" s="12"/>
      <c r="P36" s="11"/>
      <c r="Q36" s="11"/>
      <c r="R36" s="11"/>
    </row>
    <row r="37" customFormat="false" ht="23.85" hidden="false" customHeight="false" outlineLevel="0" collapsed="false">
      <c r="A37" s="10" t="s">
        <v>431</v>
      </c>
      <c r="B37" s="10" t="s">
        <v>422</v>
      </c>
      <c r="C37" s="10" t="s">
        <v>432</v>
      </c>
      <c r="D37" s="10" t="s">
        <v>329</v>
      </c>
      <c r="E37" s="10" t="s">
        <v>433</v>
      </c>
      <c r="F37" s="10" t="s">
        <v>331</v>
      </c>
      <c r="G37" s="10" t="s">
        <v>77</v>
      </c>
      <c r="H37" s="10" t="s">
        <v>78</v>
      </c>
      <c r="I37" s="11" t="s">
        <v>339</v>
      </c>
      <c r="J37" s="25"/>
      <c r="K37" s="11"/>
      <c r="L37" s="25"/>
      <c r="M37" s="11"/>
      <c r="N37" s="25"/>
      <c r="O37" s="12"/>
      <c r="P37" s="11"/>
      <c r="Q37" s="11"/>
      <c r="R37" s="11"/>
    </row>
    <row r="38" customFormat="false" ht="23.85" hidden="false" customHeight="false" outlineLevel="0" collapsed="false">
      <c r="A38" s="10" t="s">
        <v>434</v>
      </c>
      <c r="B38" s="10" t="s">
        <v>422</v>
      </c>
      <c r="C38" s="10" t="s">
        <v>435</v>
      </c>
      <c r="D38" s="10" t="s">
        <v>329</v>
      </c>
      <c r="E38" s="10" t="s">
        <v>433</v>
      </c>
      <c r="F38" s="10" t="s">
        <v>331</v>
      </c>
      <c r="G38" s="10" t="s">
        <v>77</v>
      </c>
      <c r="H38" s="10" t="s">
        <v>78</v>
      </c>
      <c r="I38" s="11" t="s">
        <v>339</v>
      </c>
      <c r="J38" s="25"/>
      <c r="K38" s="11"/>
      <c r="L38" s="25"/>
      <c r="M38" s="11"/>
      <c r="N38" s="25"/>
      <c r="O38" s="12"/>
      <c r="P38" s="11"/>
      <c r="Q38" s="11"/>
      <c r="R38" s="11"/>
    </row>
    <row r="39" customFormat="false" ht="23.85" hidden="false" customHeight="false" outlineLevel="0" collapsed="false">
      <c r="A39" s="10" t="s">
        <v>436</v>
      </c>
      <c r="B39" s="10" t="s">
        <v>437</v>
      </c>
      <c r="C39" s="10" t="s">
        <v>438</v>
      </c>
      <c r="D39" s="10" t="s">
        <v>439</v>
      </c>
      <c r="E39" s="10" t="s">
        <v>440</v>
      </c>
      <c r="F39" s="10" t="s">
        <v>441</v>
      </c>
      <c r="G39" s="10" t="s">
        <v>77</v>
      </c>
      <c r="H39" s="10" t="s">
        <v>78</v>
      </c>
      <c r="I39" s="11" t="s">
        <v>339</v>
      </c>
      <c r="J39" s="11"/>
      <c r="K39" s="11"/>
      <c r="L39" s="11"/>
      <c r="M39" s="11"/>
      <c r="N39" s="11"/>
      <c r="O39" s="12"/>
      <c r="P39" s="11"/>
      <c r="Q39" s="11"/>
      <c r="R39" s="11"/>
    </row>
    <row r="40" customFormat="false" ht="15" hidden="false" customHeight="false" outlineLevel="0" collapsed="false">
      <c r="A40" s="10" t="s">
        <v>442</v>
      </c>
      <c r="B40" s="10" t="s">
        <v>437</v>
      </c>
      <c r="C40" s="10" t="s">
        <v>443</v>
      </c>
      <c r="D40" s="10" t="s">
        <v>329</v>
      </c>
      <c r="E40" s="10" t="s">
        <v>444</v>
      </c>
      <c r="F40" s="10" t="s">
        <v>331</v>
      </c>
      <c r="G40" s="10" t="s">
        <v>77</v>
      </c>
      <c r="H40" s="10" t="s">
        <v>78</v>
      </c>
      <c r="I40" s="11" t="s">
        <v>339</v>
      </c>
      <c r="J40" s="25"/>
      <c r="K40" s="11"/>
      <c r="L40" s="25"/>
      <c r="M40" s="11"/>
      <c r="N40" s="25"/>
      <c r="O40" s="12"/>
      <c r="P40" s="11"/>
      <c r="Q40" s="11"/>
      <c r="R40" s="11"/>
    </row>
    <row r="41" customFormat="false" ht="23.85" hidden="false" customHeight="false" outlineLevel="0" collapsed="false">
      <c r="A41" s="10" t="s">
        <v>326</v>
      </c>
      <c r="B41" s="10" t="s">
        <v>327</v>
      </c>
      <c r="C41" s="10" t="s">
        <v>338</v>
      </c>
      <c r="D41" s="10" t="s">
        <v>329</v>
      </c>
      <c r="E41" s="10" t="s">
        <v>330</v>
      </c>
      <c r="F41" s="10" t="s">
        <v>331</v>
      </c>
      <c r="G41" s="10" t="s">
        <v>85</v>
      </c>
      <c r="H41" s="10" t="s">
        <v>86</v>
      </c>
      <c r="I41" s="11" t="s">
        <v>339</v>
      </c>
      <c r="J41" s="25"/>
      <c r="K41" s="11"/>
      <c r="L41" s="25"/>
      <c r="M41" s="11"/>
      <c r="N41" s="25"/>
      <c r="O41" s="12"/>
      <c r="P41" s="11"/>
      <c r="Q41" s="11"/>
      <c r="R41" s="11"/>
    </row>
    <row r="42" customFormat="false" ht="23.85" hidden="false" customHeight="false" outlineLevel="0" collapsed="false">
      <c r="A42" s="10" t="s">
        <v>340</v>
      </c>
      <c r="B42" s="10" t="s">
        <v>327</v>
      </c>
      <c r="C42" s="10" t="s">
        <v>341</v>
      </c>
      <c r="D42" s="10" t="s">
        <v>329</v>
      </c>
      <c r="E42" s="10" t="s">
        <v>330</v>
      </c>
      <c r="F42" s="10" t="s">
        <v>331</v>
      </c>
      <c r="G42" s="10" t="s">
        <v>85</v>
      </c>
      <c r="H42" s="10" t="s">
        <v>86</v>
      </c>
      <c r="I42" s="11" t="s">
        <v>339</v>
      </c>
      <c r="J42" s="25"/>
      <c r="K42" s="11"/>
      <c r="L42" s="25"/>
      <c r="M42" s="11"/>
      <c r="N42" s="25"/>
      <c r="O42" s="12"/>
      <c r="P42" s="11"/>
      <c r="Q42" s="11"/>
      <c r="R42" s="11"/>
    </row>
    <row r="43" customFormat="false" ht="15" hidden="false" customHeight="false" outlineLevel="0" collapsed="false">
      <c r="A43" s="10" t="s">
        <v>342</v>
      </c>
      <c r="B43" s="10" t="s">
        <v>327</v>
      </c>
      <c r="C43" s="10" t="s">
        <v>343</v>
      </c>
      <c r="D43" s="10" t="s">
        <v>329</v>
      </c>
      <c r="E43" s="10" t="s">
        <v>344</v>
      </c>
      <c r="F43" s="10" t="s">
        <v>331</v>
      </c>
      <c r="G43" s="10" t="s">
        <v>85</v>
      </c>
      <c r="H43" s="10" t="s">
        <v>86</v>
      </c>
      <c r="I43" s="11" t="s">
        <v>339</v>
      </c>
      <c r="J43" s="25"/>
      <c r="K43" s="11"/>
      <c r="L43" s="25"/>
      <c r="M43" s="11"/>
      <c r="N43" s="25"/>
      <c r="O43" s="12"/>
      <c r="P43" s="11"/>
      <c r="Q43" s="11"/>
      <c r="R43" s="11"/>
    </row>
    <row r="44" customFormat="false" ht="15" hidden="false" customHeight="false" outlineLevel="0" collapsed="false">
      <c r="A44" s="10" t="s">
        <v>345</v>
      </c>
      <c r="B44" s="10" t="s">
        <v>327</v>
      </c>
      <c r="C44" s="10" t="s">
        <v>346</v>
      </c>
      <c r="D44" s="10" t="s">
        <v>329</v>
      </c>
      <c r="E44" s="10" t="s">
        <v>344</v>
      </c>
      <c r="F44" s="10" t="s">
        <v>331</v>
      </c>
      <c r="G44" s="10" t="s">
        <v>85</v>
      </c>
      <c r="H44" s="10" t="s">
        <v>86</v>
      </c>
      <c r="I44" s="11" t="s">
        <v>339</v>
      </c>
      <c r="J44" s="25"/>
      <c r="K44" s="11"/>
      <c r="L44" s="25"/>
      <c r="M44" s="11"/>
      <c r="N44" s="25"/>
      <c r="O44" s="12"/>
      <c r="P44" s="11"/>
      <c r="Q44" s="11"/>
      <c r="R44" s="11"/>
    </row>
    <row r="45" customFormat="false" ht="23.85" hidden="false" customHeight="false" outlineLevel="0" collapsed="false">
      <c r="A45" s="10" t="s">
        <v>347</v>
      </c>
      <c r="B45" s="10" t="s">
        <v>327</v>
      </c>
      <c r="C45" s="10" t="s">
        <v>348</v>
      </c>
      <c r="D45" s="10" t="s">
        <v>329</v>
      </c>
      <c r="E45" s="10" t="s">
        <v>330</v>
      </c>
      <c r="F45" s="10" t="s">
        <v>331</v>
      </c>
      <c r="G45" s="10" t="s">
        <v>85</v>
      </c>
      <c r="H45" s="10" t="s">
        <v>86</v>
      </c>
      <c r="I45" s="11" t="s">
        <v>339</v>
      </c>
      <c r="J45" s="25"/>
      <c r="K45" s="11"/>
      <c r="L45" s="25"/>
      <c r="M45" s="11"/>
      <c r="N45" s="25"/>
      <c r="O45" s="12"/>
      <c r="P45" s="11"/>
      <c r="Q45" s="11"/>
      <c r="R45" s="11"/>
    </row>
    <row r="46" customFormat="false" ht="23.85" hidden="false" customHeight="false" outlineLevel="0" collapsed="false">
      <c r="A46" s="10" t="s">
        <v>349</v>
      </c>
      <c r="B46" s="10" t="s">
        <v>327</v>
      </c>
      <c r="C46" s="10" t="s">
        <v>350</v>
      </c>
      <c r="D46" s="10" t="s">
        <v>329</v>
      </c>
      <c r="E46" s="10" t="s">
        <v>351</v>
      </c>
      <c r="F46" s="10" t="s">
        <v>331</v>
      </c>
      <c r="G46" s="10" t="s">
        <v>85</v>
      </c>
      <c r="H46" s="10" t="s">
        <v>86</v>
      </c>
      <c r="I46" s="11" t="s">
        <v>339</v>
      </c>
      <c r="J46" s="25"/>
      <c r="K46" s="11"/>
      <c r="L46" s="25"/>
      <c r="M46" s="11"/>
      <c r="N46" s="25"/>
      <c r="O46" s="12"/>
      <c r="P46" s="11"/>
      <c r="Q46" s="11"/>
      <c r="R46" s="11"/>
    </row>
    <row r="47" customFormat="false" ht="23.85" hidden="false" customHeight="false" outlineLevel="0" collapsed="false">
      <c r="A47" s="10" t="s">
        <v>352</v>
      </c>
      <c r="B47" s="10" t="s">
        <v>327</v>
      </c>
      <c r="C47" s="10" t="s">
        <v>353</v>
      </c>
      <c r="D47" s="10" t="s">
        <v>354</v>
      </c>
      <c r="E47" s="10" t="s">
        <v>355</v>
      </c>
      <c r="F47" s="10" t="s">
        <v>356</v>
      </c>
      <c r="G47" s="10" t="s">
        <v>85</v>
      </c>
      <c r="H47" s="10" t="s">
        <v>86</v>
      </c>
      <c r="I47" s="11" t="s">
        <v>339</v>
      </c>
      <c r="J47" s="11"/>
      <c r="K47" s="11"/>
      <c r="L47" s="11"/>
      <c r="M47" s="11"/>
      <c r="N47" s="11"/>
      <c r="O47" s="12"/>
      <c r="P47" s="11"/>
      <c r="Q47" s="11"/>
      <c r="R47" s="11"/>
    </row>
    <row r="48" customFormat="false" ht="23.85" hidden="false" customHeight="false" outlineLevel="0" collapsed="false">
      <c r="A48" s="10" t="s">
        <v>357</v>
      </c>
      <c r="B48" s="10" t="s">
        <v>358</v>
      </c>
      <c r="C48" s="10" t="s">
        <v>359</v>
      </c>
      <c r="D48" s="10" t="s">
        <v>360</v>
      </c>
      <c r="E48" s="10" t="s">
        <v>361</v>
      </c>
      <c r="F48" s="10" t="s">
        <v>356</v>
      </c>
      <c r="G48" s="10" t="s">
        <v>85</v>
      </c>
      <c r="H48" s="10" t="s">
        <v>86</v>
      </c>
      <c r="I48" s="11" t="s">
        <v>339</v>
      </c>
      <c r="J48" s="26"/>
      <c r="K48" s="11"/>
      <c r="L48" s="26"/>
      <c r="M48" s="11"/>
      <c r="N48" s="26"/>
      <c r="O48" s="12"/>
      <c r="P48" s="11"/>
      <c r="Q48" s="11"/>
      <c r="R48" s="11"/>
    </row>
    <row r="49" customFormat="false" ht="23.85" hidden="false" customHeight="false" outlineLevel="0" collapsed="false">
      <c r="A49" s="10" t="s">
        <v>362</v>
      </c>
      <c r="B49" s="10" t="s">
        <v>358</v>
      </c>
      <c r="C49" s="10" t="s">
        <v>363</v>
      </c>
      <c r="D49" s="10" t="s">
        <v>360</v>
      </c>
      <c r="E49" s="10" t="s">
        <v>361</v>
      </c>
      <c r="F49" s="10" t="s">
        <v>356</v>
      </c>
      <c r="G49" s="10" t="s">
        <v>85</v>
      </c>
      <c r="H49" s="10" t="s">
        <v>86</v>
      </c>
      <c r="I49" s="11" t="s">
        <v>339</v>
      </c>
      <c r="J49" s="26"/>
      <c r="K49" s="11"/>
      <c r="L49" s="26"/>
      <c r="M49" s="11"/>
      <c r="N49" s="26"/>
      <c r="O49" s="12"/>
      <c r="P49" s="11"/>
      <c r="Q49" s="11"/>
      <c r="R49" s="11"/>
    </row>
    <row r="50" customFormat="false" ht="15" hidden="false" customHeight="false" outlineLevel="0" collapsed="false">
      <c r="A50" s="10" t="s">
        <v>364</v>
      </c>
      <c r="B50" s="10" t="s">
        <v>358</v>
      </c>
      <c r="C50" s="10" t="s">
        <v>365</v>
      </c>
      <c r="D50" s="10" t="s">
        <v>360</v>
      </c>
      <c r="E50" s="10" t="s">
        <v>361</v>
      </c>
      <c r="F50" s="10" t="s">
        <v>356</v>
      </c>
      <c r="G50" s="10" t="s">
        <v>85</v>
      </c>
      <c r="H50" s="10" t="s">
        <v>86</v>
      </c>
      <c r="I50" s="11" t="s">
        <v>339</v>
      </c>
      <c r="J50" s="26"/>
      <c r="K50" s="11"/>
      <c r="L50" s="26"/>
      <c r="M50" s="11"/>
      <c r="N50" s="26"/>
      <c r="O50" s="12"/>
      <c r="P50" s="11"/>
      <c r="Q50" s="11"/>
      <c r="R50" s="11"/>
    </row>
    <row r="51" customFormat="false" ht="15" hidden="false" customHeight="false" outlineLevel="0" collapsed="false">
      <c r="A51" s="10" t="s">
        <v>366</v>
      </c>
      <c r="B51" s="10" t="s">
        <v>358</v>
      </c>
      <c r="C51" s="10" t="s">
        <v>367</v>
      </c>
      <c r="D51" s="10" t="s">
        <v>360</v>
      </c>
      <c r="E51" s="10" t="s">
        <v>361</v>
      </c>
      <c r="F51" s="10" t="s">
        <v>356</v>
      </c>
      <c r="G51" s="10" t="s">
        <v>85</v>
      </c>
      <c r="H51" s="10" t="s">
        <v>86</v>
      </c>
      <c r="I51" s="11" t="s">
        <v>339</v>
      </c>
      <c r="J51" s="26"/>
      <c r="K51" s="11"/>
      <c r="L51" s="26"/>
      <c r="M51" s="11"/>
      <c r="N51" s="26"/>
      <c r="O51" s="12"/>
      <c r="P51" s="11"/>
      <c r="Q51" s="11"/>
      <c r="R51" s="11"/>
    </row>
    <row r="52" customFormat="false" ht="23.85" hidden="false" customHeight="false" outlineLevel="0" collapsed="false">
      <c r="A52" s="10" t="s">
        <v>368</v>
      </c>
      <c r="B52" s="10" t="s">
        <v>358</v>
      </c>
      <c r="C52" s="10" t="s">
        <v>369</v>
      </c>
      <c r="D52" s="10" t="s">
        <v>360</v>
      </c>
      <c r="E52" s="10" t="s">
        <v>370</v>
      </c>
      <c r="F52" s="10" t="s">
        <v>356</v>
      </c>
      <c r="G52" s="10" t="s">
        <v>85</v>
      </c>
      <c r="H52" s="10" t="s">
        <v>86</v>
      </c>
      <c r="I52" s="11" t="s">
        <v>339</v>
      </c>
      <c r="J52" s="26"/>
      <c r="K52" s="11"/>
      <c r="L52" s="26"/>
      <c r="M52" s="11"/>
      <c r="N52" s="26"/>
      <c r="O52" s="12"/>
      <c r="P52" s="11"/>
      <c r="Q52" s="11"/>
      <c r="R52" s="11"/>
    </row>
    <row r="53" customFormat="false" ht="23.85" hidden="false" customHeight="false" outlineLevel="0" collapsed="false">
      <c r="A53" s="10" t="s">
        <v>371</v>
      </c>
      <c r="B53" s="10" t="s">
        <v>358</v>
      </c>
      <c r="C53" s="10" t="s">
        <v>372</v>
      </c>
      <c r="D53" s="10" t="s">
        <v>329</v>
      </c>
      <c r="E53" s="10" t="s">
        <v>373</v>
      </c>
      <c r="F53" s="10" t="s">
        <v>356</v>
      </c>
      <c r="G53" s="10" t="s">
        <v>85</v>
      </c>
      <c r="H53" s="10" t="s">
        <v>86</v>
      </c>
      <c r="I53" s="11" t="s">
        <v>339</v>
      </c>
      <c r="J53" s="25"/>
      <c r="K53" s="11"/>
      <c r="L53" s="25"/>
      <c r="M53" s="11"/>
      <c r="N53" s="25"/>
      <c r="O53" s="12"/>
      <c r="P53" s="11"/>
      <c r="Q53" s="11"/>
      <c r="R53" s="11"/>
    </row>
    <row r="54" customFormat="false" ht="35.05" hidden="false" customHeight="false" outlineLevel="0" collapsed="false">
      <c r="A54" s="10" t="s">
        <v>374</v>
      </c>
      <c r="B54" s="10" t="s">
        <v>375</v>
      </c>
      <c r="C54" s="10" t="s">
        <v>376</v>
      </c>
      <c r="D54" s="10" t="s">
        <v>377</v>
      </c>
      <c r="E54" s="10" t="s">
        <v>378</v>
      </c>
      <c r="F54" s="10" t="s">
        <v>356</v>
      </c>
      <c r="G54" s="10" t="s">
        <v>85</v>
      </c>
      <c r="H54" s="10" t="s">
        <v>86</v>
      </c>
      <c r="I54" s="11" t="s">
        <v>339</v>
      </c>
      <c r="J54" s="11"/>
      <c r="K54" s="11"/>
      <c r="L54" s="11"/>
      <c r="M54" s="11"/>
      <c r="N54" s="11"/>
      <c r="O54" s="12"/>
      <c r="P54" s="11"/>
      <c r="Q54" s="11"/>
      <c r="R54" s="11"/>
    </row>
    <row r="55" customFormat="false" ht="23.85" hidden="false" customHeight="false" outlineLevel="0" collapsed="false">
      <c r="A55" s="10" t="s">
        <v>379</v>
      </c>
      <c r="B55" s="10" t="s">
        <v>375</v>
      </c>
      <c r="C55" s="10" t="s">
        <v>380</v>
      </c>
      <c r="D55" s="10" t="s">
        <v>377</v>
      </c>
      <c r="E55" s="10" t="s">
        <v>378</v>
      </c>
      <c r="F55" s="10" t="s">
        <v>356</v>
      </c>
      <c r="G55" s="10" t="s">
        <v>85</v>
      </c>
      <c r="H55" s="10" t="s">
        <v>86</v>
      </c>
      <c r="I55" s="11" t="s">
        <v>339</v>
      </c>
      <c r="J55" s="11"/>
      <c r="K55" s="11"/>
      <c r="L55" s="11"/>
      <c r="M55" s="11"/>
      <c r="N55" s="11"/>
      <c r="O55" s="12"/>
      <c r="P55" s="11"/>
      <c r="Q55" s="11"/>
      <c r="R55" s="11"/>
    </row>
    <row r="56" customFormat="false" ht="23.85" hidden="false" customHeight="false" outlineLevel="0" collapsed="false">
      <c r="A56" s="10" t="s">
        <v>381</v>
      </c>
      <c r="B56" s="10" t="s">
        <v>375</v>
      </c>
      <c r="C56" s="10" t="s">
        <v>382</v>
      </c>
      <c r="D56" s="10" t="s">
        <v>329</v>
      </c>
      <c r="E56" s="10" t="s">
        <v>378</v>
      </c>
      <c r="F56" s="10" t="s">
        <v>356</v>
      </c>
      <c r="G56" s="10" t="s">
        <v>85</v>
      </c>
      <c r="H56" s="10" t="s">
        <v>86</v>
      </c>
      <c r="I56" s="11" t="s">
        <v>339</v>
      </c>
      <c r="J56" s="25"/>
      <c r="K56" s="11"/>
      <c r="L56" s="25"/>
      <c r="M56" s="11"/>
      <c r="N56" s="25"/>
      <c r="O56" s="12"/>
      <c r="P56" s="11"/>
      <c r="Q56" s="11"/>
      <c r="R56" s="11"/>
    </row>
    <row r="57" customFormat="false" ht="23.85" hidden="false" customHeight="false" outlineLevel="0" collapsed="false">
      <c r="A57" s="10" t="s">
        <v>383</v>
      </c>
      <c r="B57" s="10" t="s">
        <v>384</v>
      </c>
      <c r="C57" s="10" t="s">
        <v>385</v>
      </c>
      <c r="D57" s="10" t="s">
        <v>386</v>
      </c>
      <c r="E57" s="10" t="s">
        <v>387</v>
      </c>
      <c r="F57" s="10" t="s">
        <v>388</v>
      </c>
      <c r="G57" s="10" t="s">
        <v>85</v>
      </c>
      <c r="H57" s="10" t="s">
        <v>86</v>
      </c>
      <c r="I57" s="11" t="s">
        <v>339</v>
      </c>
      <c r="J57" s="11"/>
      <c r="K57" s="11"/>
      <c r="L57" s="11"/>
      <c r="M57" s="11"/>
      <c r="N57" s="11"/>
      <c r="O57" s="12"/>
      <c r="P57" s="11"/>
      <c r="Q57" s="11"/>
      <c r="R57" s="11"/>
    </row>
    <row r="58" customFormat="false" ht="23.85" hidden="false" customHeight="false" outlineLevel="0" collapsed="false">
      <c r="A58" s="10" t="s">
        <v>389</v>
      </c>
      <c r="B58" s="10" t="s">
        <v>384</v>
      </c>
      <c r="C58" s="10" t="s">
        <v>390</v>
      </c>
      <c r="D58" s="10" t="s">
        <v>386</v>
      </c>
      <c r="E58" s="10" t="s">
        <v>391</v>
      </c>
      <c r="F58" s="10" t="s">
        <v>388</v>
      </c>
      <c r="G58" s="10" t="s">
        <v>85</v>
      </c>
      <c r="H58" s="10" t="s">
        <v>86</v>
      </c>
      <c r="I58" s="11" t="s">
        <v>339</v>
      </c>
      <c r="J58" s="11"/>
      <c r="K58" s="11"/>
      <c r="L58" s="11"/>
      <c r="M58" s="11"/>
      <c r="N58" s="11"/>
      <c r="O58" s="12"/>
      <c r="P58" s="11"/>
      <c r="Q58" s="11"/>
      <c r="R58" s="11"/>
    </row>
    <row r="59" customFormat="false" ht="23.85" hidden="false" customHeight="false" outlineLevel="0" collapsed="false">
      <c r="A59" s="10" t="s">
        <v>392</v>
      </c>
      <c r="B59" s="10" t="s">
        <v>384</v>
      </c>
      <c r="C59" s="10" t="s">
        <v>393</v>
      </c>
      <c r="D59" s="10" t="s">
        <v>394</v>
      </c>
      <c r="E59" s="10" t="s">
        <v>395</v>
      </c>
      <c r="F59" s="10" t="s">
        <v>331</v>
      </c>
      <c r="G59" s="10" t="s">
        <v>85</v>
      </c>
      <c r="H59" s="10" t="s">
        <v>86</v>
      </c>
      <c r="I59" s="11" t="s">
        <v>339</v>
      </c>
      <c r="J59" s="11"/>
      <c r="K59" s="11"/>
      <c r="L59" s="11"/>
      <c r="M59" s="11"/>
      <c r="N59" s="11"/>
      <c r="O59" s="12"/>
      <c r="P59" s="11"/>
      <c r="Q59" s="11"/>
      <c r="R59" s="11"/>
    </row>
    <row r="60" customFormat="false" ht="23.85" hidden="false" customHeight="false" outlineLevel="0" collapsed="false">
      <c r="A60" s="10" t="s">
        <v>396</v>
      </c>
      <c r="B60" s="10" t="s">
        <v>384</v>
      </c>
      <c r="C60" s="10" t="s">
        <v>397</v>
      </c>
      <c r="D60" s="10" t="s">
        <v>386</v>
      </c>
      <c r="E60" s="10" t="s">
        <v>398</v>
      </c>
      <c r="F60" s="10" t="s">
        <v>388</v>
      </c>
      <c r="G60" s="10" t="s">
        <v>85</v>
      </c>
      <c r="H60" s="10" t="s">
        <v>86</v>
      </c>
      <c r="I60" s="11" t="s">
        <v>339</v>
      </c>
      <c r="J60" s="11"/>
      <c r="K60" s="11"/>
      <c r="L60" s="11"/>
      <c r="M60" s="11"/>
      <c r="N60" s="11"/>
      <c r="O60" s="12"/>
      <c r="P60" s="11"/>
      <c r="Q60" s="11"/>
      <c r="R60" s="11"/>
    </row>
    <row r="61" customFormat="false" ht="23.85" hidden="false" customHeight="false" outlineLevel="0" collapsed="false">
      <c r="A61" s="10" t="s">
        <v>399</v>
      </c>
      <c r="B61" s="10" t="s">
        <v>384</v>
      </c>
      <c r="C61" s="10" t="s">
        <v>400</v>
      </c>
      <c r="D61" s="10" t="s">
        <v>386</v>
      </c>
      <c r="E61" s="10" t="s">
        <v>330</v>
      </c>
      <c r="F61" s="10" t="s">
        <v>388</v>
      </c>
      <c r="G61" s="10" t="s">
        <v>85</v>
      </c>
      <c r="H61" s="10" t="s">
        <v>86</v>
      </c>
      <c r="I61" s="11" t="s">
        <v>339</v>
      </c>
      <c r="J61" s="11"/>
      <c r="K61" s="11"/>
      <c r="L61" s="11"/>
      <c r="M61" s="11"/>
      <c r="N61" s="11"/>
      <c r="O61" s="12"/>
      <c r="P61" s="11"/>
      <c r="Q61" s="11"/>
      <c r="R61" s="11"/>
    </row>
    <row r="62" customFormat="false" ht="23.85" hidden="false" customHeight="false" outlineLevel="0" collapsed="false">
      <c r="A62" s="10" t="s">
        <v>401</v>
      </c>
      <c r="B62" s="10" t="s">
        <v>384</v>
      </c>
      <c r="C62" s="10" t="s">
        <v>402</v>
      </c>
      <c r="D62" s="10" t="s">
        <v>386</v>
      </c>
      <c r="E62" s="10" t="s">
        <v>403</v>
      </c>
      <c r="F62" s="10" t="s">
        <v>388</v>
      </c>
      <c r="G62" s="10" t="s">
        <v>85</v>
      </c>
      <c r="H62" s="10" t="s">
        <v>86</v>
      </c>
      <c r="I62" s="11" t="s">
        <v>339</v>
      </c>
      <c r="J62" s="11"/>
      <c r="K62" s="11"/>
      <c r="L62" s="11"/>
      <c r="M62" s="11"/>
      <c r="N62" s="11"/>
      <c r="O62" s="12"/>
      <c r="P62" s="11"/>
      <c r="Q62" s="11"/>
      <c r="R62" s="11"/>
    </row>
    <row r="63" customFormat="false" ht="15" hidden="false" customHeight="false" outlineLevel="0" collapsed="false">
      <c r="A63" s="10" t="s">
        <v>404</v>
      </c>
      <c r="B63" s="10" t="s">
        <v>384</v>
      </c>
      <c r="C63" s="10" t="s">
        <v>405</v>
      </c>
      <c r="D63" s="10" t="s">
        <v>386</v>
      </c>
      <c r="E63" s="10" t="s">
        <v>406</v>
      </c>
      <c r="F63" s="10" t="s">
        <v>388</v>
      </c>
      <c r="G63" s="10" t="s">
        <v>85</v>
      </c>
      <c r="H63" s="10" t="s">
        <v>86</v>
      </c>
      <c r="I63" s="11" t="s">
        <v>339</v>
      </c>
      <c r="J63" s="11"/>
      <c r="K63" s="11"/>
      <c r="L63" s="11"/>
      <c r="M63" s="11"/>
      <c r="N63" s="11"/>
      <c r="O63" s="12"/>
      <c r="P63" s="11"/>
      <c r="Q63" s="11"/>
      <c r="R63" s="11"/>
    </row>
    <row r="64" customFormat="false" ht="23.85" hidden="false" customHeight="false" outlineLevel="0" collapsed="false">
      <c r="A64" s="10" t="s">
        <v>407</v>
      </c>
      <c r="B64" s="10" t="s">
        <v>384</v>
      </c>
      <c r="C64" s="10" t="s">
        <v>408</v>
      </c>
      <c r="D64" s="10" t="s">
        <v>409</v>
      </c>
      <c r="E64" s="10" t="s">
        <v>410</v>
      </c>
      <c r="F64" s="10" t="s">
        <v>388</v>
      </c>
      <c r="G64" s="10" t="s">
        <v>85</v>
      </c>
      <c r="H64" s="10" t="s">
        <v>86</v>
      </c>
      <c r="I64" s="11" t="s">
        <v>339</v>
      </c>
      <c r="J64" s="11"/>
      <c r="K64" s="11"/>
      <c r="L64" s="11"/>
      <c r="M64" s="11"/>
      <c r="N64" s="11"/>
      <c r="O64" s="12"/>
      <c r="P64" s="11"/>
      <c r="Q64" s="11"/>
      <c r="R64" s="11"/>
    </row>
    <row r="65" customFormat="false" ht="23.85" hidden="false" customHeight="false" outlineLevel="0" collapsed="false">
      <c r="A65" s="10" t="s">
        <v>411</v>
      </c>
      <c r="B65" s="10" t="s">
        <v>384</v>
      </c>
      <c r="C65" s="10" t="s">
        <v>412</v>
      </c>
      <c r="D65" s="10" t="s">
        <v>413</v>
      </c>
      <c r="E65" s="10" t="s">
        <v>414</v>
      </c>
      <c r="F65" s="10" t="s">
        <v>331</v>
      </c>
      <c r="G65" s="10" t="s">
        <v>85</v>
      </c>
      <c r="H65" s="10" t="s">
        <v>86</v>
      </c>
      <c r="I65" s="11" t="s">
        <v>339</v>
      </c>
      <c r="J65" s="11"/>
      <c r="K65" s="11"/>
      <c r="L65" s="11"/>
      <c r="M65" s="11"/>
      <c r="N65" s="11"/>
      <c r="O65" s="12"/>
      <c r="P65" s="11"/>
      <c r="Q65" s="11"/>
      <c r="R65" s="11"/>
    </row>
    <row r="66" customFormat="false" ht="23.85" hidden="false" customHeight="false" outlineLevel="0" collapsed="false">
      <c r="A66" s="10" t="s">
        <v>415</v>
      </c>
      <c r="B66" s="10" t="s">
        <v>384</v>
      </c>
      <c r="C66" s="10" t="s">
        <v>416</v>
      </c>
      <c r="D66" s="10" t="s">
        <v>386</v>
      </c>
      <c r="E66" s="10" t="s">
        <v>417</v>
      </c>
      <c r="F66" s="10" t="s">
        <v>388</v>
      </c>
      <c r="G66" s="10" t="s">
        <v>85</v>
      </c>
      <c r="H66" s="10" t="s">
        <v>86</v>
      </c>
      <c r="I66" s="11" t="s">
        <v>339</v>
      </c>
      <c r="J66" s="11"/>
      <c r="K66" s="11"/>
      <c r="L66" s="11"/>
      <c r="M66" s="11"/>
      <c r="N66" s="11"/>
      <c r="O66" s="12"/>
      <c r="P66" s="11"/>
      <c r="Q66" s="11"/>
      <c r="R66" s="11"/>
    </row>
    <row r="67" customFormat="false" ht="23.85" hidden="false" customHeight="false" outlineLevel="0" collapsed="false">
      <c r="A67" s="10" t="s">
        <v>418</v>
      </c>
      <c r="B67" s="10" t="s">
        <v>384</v>
      </c>
      <c r="C67" s="10" t="s">
        <v>419</v>
      </c>
      <c r="D67" s="10" t="s">
        <v>386</v>
      </c>
      <c r="E67" s="10" t="s">
        <v>420</v>
      </c>
      <c r="F67" s="10" t="s">
        <v>388</v>
      </c>
      <c r="G67" s="10" t="s">
        <v>85</v>
      </c>
      <c r="H67" s="10" t="s">
        <v>86</v>
      </c>
      <c r="I67" s="11" t="s">
        <v>339</v>
      </c>
      <c r="J67" s="11"/>
      <c r="K67" s="11"/>
      <c r="L67" s="11"/>
      <c r="M67" s="11"/>
      <c r="N67" s="11"/>
      <c r="O67" s="12"/>
      <c r="P67" s="11"/>
      <c r="Q67" s="11"/>
      <c r="R67" s="11"/>
    </row>
    <row r="68" customFormat="false" ht="23.85" hidden="false" customHeight="false" outlineLevel="0" collapsed="false">
      <c r="A68" s="10" t="s">
        <v>421</v>
      </c>
      <c r="B68" s="10" t="s">
        <v>422</v>
      </c>
      <c r="C68" s="10" t="s">
        <v>423</v>
      </c>
      <c r="D68" s="10" t="s">
        <v>329</v>
      </c>
      <c r="E68" s="10" t="s">
        <v>424</v>
      </c>
      <c r="F68" s="10" t="s">
        <v>331</v>
      </c>
      <c r="G68" s="10" t="s">
        <v>85</v>
      </c>
      <c r="H68" s="10" t="s">
        <v>86</v>
      </c>
      <c r="I68" s="11" t="s">
        <v>339</v>
      </c>
      <c r="J68" s="25"/>
      <c r="K68" s="11"/>
      <c r="L68" s="25"/>
      <c r="M68" s="11"/>
      <c r="N68" s="25"/>
      <c r="O68" s="12"/>
      <c r="P68" s="11"/>
      <c r="Q68" s="11"/>
      <c r="R68" s="11"/>
    </row>
    <row r="69" customFormat="false" ht="23.85" hidden="false" customHeight="false" outlineLevel="0" collapsed="false">
      <c r="A69" s="10" t="s">
        <v>425</v>
      </c>
      <c r="B69" s="10" t="s">
        <v>422</v>
      </c>
      <c r="C69" s="10" t="s">
        <v>426</v>
      </c>
      <c r="D69" s="10" t="s">
        <v>329</v>
      </c>
      <c r="E69" s="10" t="s">
        <v>427</v>
      </c>
      <c r="F69" s="10" t="s">
        <v>331</v>
      </c>
      <c r="G69" s="10" t="s">
        <v>85</v>
      </c>
      <c r="H69" s="10" t="s">
        <v>86</v>
      </c>
      <c r="I69" s="11" t="s">
        <v>339</v>
      </c>
      <c r="J69" s="25"/>
      <c r="K69" s="11"/>
      <c r="L69" s="25"/>
      <c r="M69" s="11"/>
      <c r="N69" s="25"/>
      <c r="O69" s="12"/>
      <c r="P69" s="11"/>
      <c r="Q69" s="11"/>
      <c r="R69" s="11"/>
    </row>
    <row r="70" customFormat="false" ht="23.85" hidden="false" customHeight="false" outlineLevel="0" collapsed="false">
      <c r="A70" s="10" t="s">
        <v>428</v>
      </c>
      <c r="B70" s="10" t="s">
        <v>422</v>
      </c>
      <c r="C70" s="10" t="s">
        <v>429</v>
      </c>
      <c r="D70" s="10" t="s">
        <v>329</v>
      </c>
      <c r="E70" s="10" t="s">
        <v>430</v>
      </c>
      <c r="F70" s="10" t="s">
        <v>331</v>
      </c>
      <c r="G70" s="10" t="s">
        <v>85</v>
      </c>
      <c r="H70" s="10" t="s">
        <v>86</v>
      </c>
      <c r="I70" s="11" t="s">
        <v>339</v>
      </c>
      <c r="J70" s="25"/>
      <c r="K70" s="11"/>
      <c r="L70" s="25"/>
      <c r="M70" s="11"/>
      <c r="N70" s="25"/>
      <c r="O70" s="12"/>
      <c r="P70" s="11"/>
      <c r="Q70" s="11"/>
      <c r="R70" s="11"/>
    </row>
    <row r="71" customFormat="false" ht="23.85" hidden="false" customHeight="false" outlineLevel="0" collapsed="false">
      <c r="A71" s="10" t="s">
        <v>431</v>
      </c>
      <c r="B71" s="10" t="s">
        <v>422</v>
      </c>
      <c r="C71" s="10" t="s">
        <v>432</v>
      </c>
      <c r="D71" s="10" t="s">
        <v>329</v>
      </c>
      <c r="E71" s="10" t="s">
        <v>433</v>
      </c>
      <c r="F71" s="10" t="s">
        <v>331</v>
      </c>
      <c r="G71" s="10" t="s">
        <v>85</v>
      </c>
      <c r="H71" s="10" t="s">
        <v>86</v>
      </c>
      <c r="I71" s="11" t="s">
        <v>339</v>
      </c>
      <c r="J71" s="25"/>
      <c r="K71" s="11"/>
      <c r="L71" s="25"/>
      <c r="M71" s="11"/>
      <c r="N71" s="25"/>
      <c r="O71" s="12"/>
      <c r="P71" s="11"/>
      <c r="Q71" s="11"/>
      <c r="R71" s="11"/>
    </row>
    <row r="72" customFormat="false" ht="23.85" hidden="false" customHeight="false" outlineLevel="0" collapsed="false">
      <c r="A72" s="10" t="s">
        <v>434</v>
      </c>
      <c r="B72" s="10" t="s">
        <v>422</v>
      </c>
      <c r="C72" s="10" t="s">
        <v>435</v>
      </c>
      <c r="D72" s="10" t="s">
        <v>329</v>
      </c>
      <c r="E72" s="10" t="s">
        <v>433</v>
      </c>
      <c r="F72" s="10" t="s">
        <v>331</v>
      </c>
      <c r="G72" s="10" t="s">
        <v>85</v>
      </c>
      <c r="H72" s="10" t="s">
        <v>86</v>
      </c>
      <c r="I72" s="11" t="s">
        <v>339</v>
      </c>
      <c r="J72" s="25"/>
      <c r="K72" s="11"/>
      <c r="L72" s="25"/>
      <c r="M72" s="11"/>
      <c r="N72" s="25"/>
      <c r="O72" s="12"/>
      <c r="P72" s="11"/>
      <c r="Q72" s="11"/>
      <c r="R72" s="11"/>
    </row>
    <row r="73" customFormat="false" ht="23.85" hidden="false" customHeight="false" outlineLevel="0" collapsed="false">
      <c r="A73" s="10" t="s">
        <v>436</v>
      </c>
      <c r="B73" s="10" t="s">
        <v>437</v>
      </c>
      <c r="C73" s="10" t="s">
        <v>438</v>
      </c>
      <c r="D73" s="10" t="s">
        <v>439</v>
      </c>
      <c r="E73" s="10" t="s">
        <v>440</v>
      </c>
      <c r="F73" s="10" t="s">
        <v>441</v>
      </c>
      <c r="G73" s="10" t="s">
        <v>85</v>
      </c>
      <c r="H73" s="10" t="s">
        <v>86</v>
      </c>
      <c r="I73" s="11" t="s">
        <v>339</v>
      </c>
      <c r="J73" s="11"/>
      <c r="K73" s="11"/>
      <c r="L73" s="11"/>
      <c r="M73" s="11"/>
      <c r="N73" s="11"/>
      <c r="O73" s="12"/>
      <c r="P73" s="11"/>
      <c r="Q73" s="11"/>
      <c r="R73" s="11"/>
    </row>
    <row r="74" customFormat="false" ht="15" hidden="false" customHeight="false" outlineLevel="0" collapsed="false">
      <c r="A74" s="10" t="s">
        <v>442</v>
      </c>
      <c r="B74" s="10" t="s">
        <v>437</v>
      </c>
      <c r="C74" s="10" t="s">
        <v>443</v>
      </c>
      <c r="D74" s="10" t="s">
        <v>329</v>
      </c>
      <c r="E74" s="10" t="s">
        <v>444</v>
      </c>
      <c r="F74" s="10" t="s">
        <v>331</v>
      </c>
      <c r="G74" s="10" t="s">
        <v>85</v>
      </c>
      <c r="H74" s="10" t="s">
        <v>86</v>
      </c>
      <c r="I74" s="11" t="s">
        <v>339</v>
      </c>
      <c r="J74" s="25"/>
      <c r="K74" s="11"/>
      <c r="L74" s="25"/>
      <c r="M74" s="11"/>
      <c r="N74" s="25"/>
      <c r="O74" s="12"/>
      <c r="P74" s="11"/>
      <c r="Q74" s="11"/>
      <c r="R74" s="11"/>
    </row>
    <row r="75" customFormat="false" ht="23.85" hidden="false" customHeight="false" outlineLevel="0" collapsed="false">
      <c r="A75" s="10" t="s">
        <v>326</v>
      </c>
      <c r="B75" s="10" t="s">
        <v>327</v>
      </c>
      <c r="C75" s="10" t="s">
        <v>338</v>
      </c>
      <c r="D75" s="10" t="s">
        <v>329</v>
      </c>
      <c r="E75" s="10" t="s">
        <v>330</v>
      </c>
      <c r="F75" s="10" t="s">
        <v>331</v>
      </c>
      <c r="G75" s="10" t="s">
        <v>89</v>
      </c>
      <c r="H75" s="10" t="s">
        <v>90</v>
      </c>
      <c r="I75" s="11" t="s">
        <v>339</v>
      </c>
      <c r="J75" s="25"/>
      <c r="K75" s="11"/>
      <c r="L75" s="25"/>
      <c r="M75" s="11"/>
      <c r="N75" s="25"/>
      <c r="O75" s="12"/>
      <c r="P75" s="11"/>
      <c r="Q75" s="11"/>
      <c r="R75" s="11"/>
    </row>
    <row r="76" customFormat="false" ht="23.85" hidden="false" customHeight="false" outlineLevel="0" collapsed="false">
      <c r="A76" s="10" t="s">
        <v>340</v>
      </c>
      <c r="B76" s="10" t="s">
        <v>327</v>
      </c>
      <c r="C76" s="10" t="s">
        <v>341</v>
      </c>
      <c r="D76" s="10" t="s">
        <v>329</v>
      </c>
      <c r="E76" s="10" t="s">
        <v>330</v>
      </c>
      <c r="F76" s="10" t="s">
        <v>331</v>
      </c>
      <c r="G76" s="10" t="s">
        <v>89</v>
      </c>
      <c r="H76" s="10" t="s">
        <v>90</v>
      </c>
      <c r="I76" s="11" t="s">
        <v>339</v>
      </c>
      <c r="J76" s="25"/>
      <c r="K76" s="11"/>
      <c r="L76" s="25"/>
      <c r="M76" s="11"/>
      <c r="N76" s="25"/>
      <c r="O76" s="12"/>
      <c r="P76" s="11"/>
      <c r="Q76" s="11"/>
      <c r="R76" s="11"/>
    </row>
    <row r="77" customFormat="false" ht="15" hidden="false" customHeight="false" outlineLevel="0" collapsed="false">
      <c r="A77" s="10" t="s">
        <v>342</v>
      </c>
      <c r="B77" s="10" t="s">
        <v>327</v>
      </c>
      <c r="C77" s="10" t="s">
        <v>343</v>
      </c>
      <c r="D77" s="10" t="s">
        <v>329</v>
      </c>
      <c r="E77" s="10" t="s">
        <v>344</v>
      </c>
      <c r="F77" s="10" t="s">
        <v>331</v>
      </c>
      <c r="G77" s="10" t="s">
        <v>89</v>
      </c>
      <c r="H77" s="10" t="s">
        <v>90</v>
      </c>
      <c r="I77" s="11" t="s">
        <v>339</v>
      </c>
      <c r="J77" s="25"/>
      <c r="K77" s="11"/>
      <c r="L77" s="25"/>
      <c r="M77" s="11"/>
      <c r="N77" s="25"/>
      <c r="O77" s="12"/>
      <c r="P77" s="11"/>
      <c r="Q77" s="11"/>
      <c r="R77" s="11"/>
    </row>
    <row r="78" customFormat="false" ht="15" hidden="false" customHeight="false" outlineLevel="0" collapsed="false">
      <c r="A78" s="10" t="s">
        <v>345</v>
      </c>
      <c r="B78" s="10" t="s">
        <v>327</v>
      </c>
      <c r="C78" s="10" t="s">
        <v>346</v>
      </c>
      <c r="D78" s="10" t="s">
        <v>329</v>
      </c>
      <c r="E78" s="10" t="s">
        <v>344</v>
      </c>
      <c r="F78" s="10" t="s">
        <v>331</v>
      </c>
      <c r="G78" s="10" t="s">
        <v>89</v>
      </c>
      <c r="H78" s="10" t="s">
        <v>90</v>
      </c>
      <c r="I78" s="11" t="s">
        <v>339</v>
      </c>
      <c r="J78" s="25"/>
      <c r="K78" s="11"/>
      <c r="L78" s="25"/>
      <c r="M78" s="11"/>
      <c r="N78" s="25"/>
      <c r="O78" s="12"/>
      <c r="P78" s="11"/>
      <c r="Q78" s="11"/>
      <c r="R78" s="11"/>
    </row>
    <row r="79" customFormat="false" ht="23.85" hidden="false" customHeight="false" outlineLevel="0" collapsed="false">
      <c r="A79" s="10" t="s">
        <v>347</v>
      </c>
      <c r="B79" s="10" t="s">
        <v>327</v>
      </c>
      <c r="C79" s="10" t="s">
        <v>348</v>
      </c>
      <c r="D79" s="10" t="s">
        <v>329</v>
      </c>
      <c r="E79" s="10" t="s">
        <v>330</v>
      </c>
      <c r="F79" s="10" t="s">
        <v>331</v>
      </c>
      <c r="G79" s="10" t="s">
        <v>89</v>
      </c>
      <c r="H79" s="10" t="s">
        <v>90</v>
      </c>
      <c r="I79" s="11" t="s">
        <v>339</v>
      </c>
      <c r="J79" s="25"/>
      <c r="K79" s="11"/>
      <c r="L79" s="25"/>
      <c r="M79" s="11"/>
      <c r="N79" s="25"/>
      <c r="O79" s="12"/>
      <c r="P79" s="11"/>
      <c r="Q79" s="11"/>
      <c r="R79" s="11"/>
    </row>
    <row r="80" customFormat="false" ht="23.85" hidden="false" customHeight="false" outlineLevel="0" collapsed="false">
      <c r="A80" s="10" t="s">
        <v>349</v>
      </c>
      <c r="B80" s="10" t="s">
        <v>327</v>
      </c>
      <c r="C80" s="10" t="s">
        <v>350</v>
      </c>
      <c r="D80" s="10" t="s">
        <v>329</v>
      </c>
      <c r="E80" s="10" t="s">
        <v>351</v>
      </c>
      <c r="F80" s="10" t="s">
        <v>331</v>
      </c>
      <c r="G80" s="10" t="s">
        <v>89</v>
      </c>
      <c r="H80" s="10" t="s">
        <v>90</v>
      </c>
      <c r="I80" s="11" t="s">
        <v>339</v>
      </c>
      <c r="J80" s="25"/>
      <c r="K80" s="11"/>
      <c r="L80" s="25"/>
      <c r="M80" s="11"/>
      <c r="N80" s="25"/>
      <c r="O80" s="12"/>
      <c r="P80" s="11"/>
      <c r="Q80" s="11"/>
      <c r="R80" s="11"/>
    </row>
    <row r="81" customFormat="false" ht="23.85" hidden="false" customHeight="false" outlineLevel="0" collapsed="false">
      <c r="A81" s="10" t="s">
        <v>352</v>
      </c>
      <c r="B81" s="10" t="s">
        <v>327</v>
      </c>
      <c r="C81" s="10" t="s">
        <v>353</v>
      </c>
      <c r="D81" s="10" t="s">
        <v>354</v>
      </c>
      <c r="E81" s="10" t="s">
        <v>355</v>
      </c>
      <c r="F81" s="10" t="s">
        <v>356</v>
      </c>
      <c r="G81" s="10" t="s">
        <v>89</v>
      </c>
      <c r="H81" s="10" t="s">
        <v>90</v>
      </c>
      <c r="I81" s="11" t="s">
        <v>339</v>
      </c>
      <c r="J81" s="11"/>
      <c r="K81" s="11"/>
      <c r="L81" s="11"/>
      <c r="M81" s="11"/>
      <c r="N81" s="11"/>
      <c r="O81" s="12"/>
      <c r="P81" s="11"/>
      <c r="Q81" s="11"/>
      <c r="R81" s="11"/>
    </row>
    <row r="82" customFormat="false" ht="23.85" hidden="false" customHeight="false" outlineLevel="0" collapsed="false">
      <c r="A82" s="10" t="s">
        <v>357</v>
      </c>
      <c r="B82" s="10" t="s">
        <v>358</v>
      </c>
      <c r="C82" s="10" t="s">
        <v>359</v>
      </c>
      <c r="D82" s="10" t="s">
        <v>360</v>
      </c>
      <c r="E82" s="10" t="s">
        <v>361</v>
      </c>
      <c r="F82" s="10" t="s">
        <v>356</v>
      </c>
      <c r="G82" s="10" t="s">
        <v>89</v>
      </c>
      <c r="H82" s="10" t="s">
        <v>90</v>
      </c>
      <c r="I82" s="11" t="s">
        <v>339</v>
      </c>
      <c r="J82" s="26"/>
      <c r="K82" s="11"/>
      <c r="L82" s="26"/>
      <c r="M82" s="11"/>
      <c r="N82" s="26"/>
      <c r="O82" s="12"/>
      <c r="P82" s="11"/>
      <c r="Q82" s="11"/>
      <c r="R82" s="11"/>
    </row>
    <row r="83" customFormat="false" ht="23.85" hidden="false" customHeight="false" outlineLevel="0" collapsed="false">
      <c r="A83" s="10" t="s">
        <v>362</v>
      </c>
      <c r="B83" s="10" t="s">
        <v>358</v>
      </c>
      <c r="C83" s="10" t="s">
        <v>363</v>
      </c>
      <c r="D83" s="10" t="s">
        <v>360</v>
      </c>
      <c r="E83" s="10" t="s">
        <v>361</v>
      </c>
      <c r="F83" s="10" t="s">
        <v>356</v>
      </c>
      <c r="G83" s="10" t="s">
        <v>89</v>
      </c>
      <c r="H83" s="10" t="s">
        <v>90</v>
      </c>
      <c r="I83" s="11" t="s">
        <v>339</v>
      </c>
      <c r="J83" s="26"/>
      <c r="K83" s="11"/>
      <c r="L83" s="26"/>
      <c r="M83" s="11"/>
      <c r="N83" s="26"/>
      <c r="O83" s="12"/>
      <c r="P83" s="11"/>
      <c r="Q83" s="11"/>
      <c r="R83" s="11"/>
    </row>
    <row r="84" customFormat="false" ht="15" hidden="false" customHeight="false" outlineLevel="0" collapsed="false">
      <c r="A84" s="10" t="s">
        <v>364</v>
      </c>
      <c r="B84" s="10" t="s">
        <v>358</v>
      </c>
      <c r="C84" s="10" t="s">
        <v>365</v>
      </c>
      <c r="D84" s="10" t="s">
        <v>360</v>
      </c>
      <c r="E84" s="10" t="s">
        <v>361</v>
      </c>
      <c r="F84" s="10" t="s">
        <v>356</v>
      </c>
      <c r="G84" s="10" t="s">
        <v>89</v>
      </c>
      <c r="H84" s="10" t="s">
        <v>90</v>
      </c>
      <c r="I84" s="11" t="s">
        <v>339</v>
      </c>
      <c r="J84" s="26"/>
      <c r="K84" s="11"/>
      <c r="L84" s="26"/>
      <c r="M84" s="11"/>
      <c r="N84" s="26"/>
      <c r="O84" s="12"/>
      <c r="P84" s="11"/>
      <c r="Q84" s="11"/>
      <c r="R84" s="11"/>
    </row>
    <row r="85" customFormat="false" ht="15" hidden="false" customHeight="false" outlineLevel="0" collapsed="false">
      <c r="A85" s="10" t="s">
        <v>366</v>
      </c>
      <c r="B85" s="10" t="s">
        <v>358</v>
      </c>
      <c r="C85" s="10" t="s">
        <v>367</v>
      </c>
      <c r="D85" s="10" t="s">
        <v>360</v>
      </c>
      <c r="E85" s="10" t="s">
        <v>361</v>
      </c>
      <c r="F85" s="10" t="s">
        <v>356</v>
      </c>
      <c r="G85" s="10" t="s">
        <v>89</v>
      </c>
      <c r="H85" s="10" t="s">
        <v>90</v>
      </c>
      <c r="I85" s="11" t="s">
        <v>339</v>
      </c>
      <c r="J85" s="26"/>
      <c r="K85" s="11"/>
      <c r="L85" s="26"/>
      <c r="M85" s="11"/>
      <c r="N85" s="26"/>
      <c r="O85" s="12"/>
      <c r="P85" s="11"/>
      <c r="Q85" s="11"/>
      <c r="R85" s="11"/>
    </row>
    <row r="86" customFormat="false" ht="23.85" hidden="false" customHeight="false" outlineLevel="0" collapsed="false">
      <c r="A86" s="10" t="s">
        <v>368</v>
      </c>
      <c r="B86" s="10" t="s">
        <v>358</v>
      </c>
      <c r="C86" s="10" t="s">
        <v>369</v>
      </c>
      <c r="D86" s="10" t="s">
        <v>360</v>
      </c>
      <c r="E86" s="10" t="s">
        <v>370</v>
      </c>
      <c r="F86" s="10" t="s">
        <v>356</v>
      </c>
      <c r="G86" s="10" t="s">
        <v>89</v>
      </c>
      <c r="H86" s="10" t="s">
        <v>90</v>
      </c>
      <c r="I86" s="11" t="s">
        <v>339</v>
      </c>
      <c r="J86" s="26"/>
      <c r="K86" s="11"/>
      <c r="L86" s="26"/>
      <c r="M86" s="11"/>
      <c r="N86" s="26"/>
      <c r="O86" s="12"/>
      <c r="P86" s="11"/>
      <c r="Q86" s="11"/>
      <c r="R86" s="11"/>
    </row>
    <row r="87" customFormat="false" ht="23.85" hidden="false" customHeight="false" outlineLevel="0" collapsed="false">
      <c r="A87" s="10" t="s">
        <v>371</v>
      </c>
      <c r="B87" s="10" t="s">
        <v>358</v>
      </c>
      <c r="C87" s="10" t="s">
        <v>372</v>
      </c>
      <c r="D87" s="10" t="s">
        <v>329</v>
      </c>
      <c r="E87" s="10" t="s">
        <v>373</v>
      </c>
      <c r="F87" s="10" t="s">
        <v>356</v>
      </c>
      <c r="G87" s="10" t="s">
        <v>89</v>
      </c>
      <c r="H87" s="10" t="s">
        <v>90</v>
      </c>
      <c r="I87" s="11" t="s">
        <v>339</v>
      </c>
      <c r="J87" s="25"/>
      <c r="K87" s="11"/>
      <c r="L87" s="25"/>
      <c r="M87" s="11"/>
      <c r="N87" s="25"/>
      <c r="O87" s="12"/>
      <c r="P87" s="11"/>
      <c r="Q87" s="11"/>
      <c r="R87" s="11"/>
    </row>
    <row r="88" customFormat="false" ht="35.05" hidden="false" customHeight="false" outlineLevel="0" collapsed="false">
      <c r="A88" s="10" t="s">
        <v>374</v>
      </c>
      <c r="B88" s="10" t="s">
        <v>375</v>
      </c>
      <c r="C88" s="10" t="s">
        <v>376</v>
      </c>
      <c r="D88" s="10" t="s">
        <v>377</v>
      </c>
      <c r="E88" s="10" t="s">
        <v>378</v>
      </c>
      <c r="F88" s="10" t="s">
        <v>356</v>
      </c>
      <c r="G88" s="10" t="s">
        <v>89</v>
      </c>
      <c r="H88" s="10" t="s">
        <v>90</v>
      </c>
      <c r="I88" s="11" t="s">
        <v>339</v>
      </c>
      <c r="J88" s="11"/>
      <c r="K88" s="11"/>
      <c r="L88" s="11"/>
      <c r="M88" s="11"/>
      <c r="N88" s="11"/>
      <c r="O88" s="12"/>
      <c r="P88" s="11"/>
      <c r="Q88" s="11"/>
      <c r="R88" s="11"/>
    </row>
    <row r="89" customFormat="false" ht="23.85" hidden="false" customHeight="false" outlineLevel="0" collapsed="false">
      <c r="A89" s="10" t="s">
        <v>379</v>
      </c>
      <c r="B89" s="10" t="s">
        <v>375</v>
      </c>
      <c r="C89" s="10" t="s">
        <v>380</v>
      </c>
      <c r="D89" s="10" t="s">
        <v>377</v>
      </c>
      <c r="E89" s="10" t="s">
        <v>378</v>
      </c>
      <c r="F89" s="10" t="s">
        <v>356</v>
      </c>
      <c r="G89" s="10" t="s">
        <v>89</v>
      </c>
      <c r="H89" s="10" t="s">
        <v>90</v>
      </c>
      <c r="I89" s="11" t="s">
        <v>339</v>
      </c>
      <c r="J89" s="11"/>
      <c r="K89" s="11"/>
      <c r="L89" s="11"/>
      <c r="M89" s="11"/>
      <c r="N89" s="11"/>
      <c r="O89" s="12"/>
      <c r="P89" s="11"/>
      <c r="Q89" s="11"/>
      <c r="R89" s="11"/>
    </row>
    <row r="90" customFormat="false" ht="23.85" hidden="false" customHeight="false" outlineLevel="0" collapsed="false">
      <c r="A90" s="10" t="s">
        <v>381</v>
      </c>
      <c r="B90" s="10" t="s">
        <v>375</v>
      </c>
      <c r="C90" s="10" t="s">
        <v>382</v>
      </c>
      <c r="D90" s="10" t="s">
        <v>329</v>
      </c>
      <c r="E90" s="10" t="s">
        <v>378</v>
      </c>
      <c r="F90" s="10" t="s">
        <v>356</v>
      </c>
      <c r="G90" s="10" t="s">
        <v>89</v>
      </c>
      <c r="H90" s="10" t="s">
        <v>90</v>
      </c>
      <c r="I90" s="11" t="s">
        <v>339</v>
      </c>
      <c r="J90" s="25"/>
      <c r="K90" s="11"/>
      <c r="L90" s="25"/>
      <c r="M90" s="11"/>
      <c r="N90" s="25"/>
      <c r="O90" s="12"/>
      <c r="P90" s="11"/>
      <c r="Q90" s="11"/>
      <c r="R90" s="11"/>
    </row>
    <row r="91" customFormat="false" ht="23.85" hidden="false" customHeight="false" outlineLevel="0" collapsed="false">
      <c r="A91" s="10" t="s">
        <v>383</v>
      </c>
      <c r="B91" s="10" t="s">
        <v>384</v>
      </c>
      <c r="C91" s="10" t="s">
        <v>385</v>
      </c>
      <c r="D91" s="10" t="s">
        <v>386</v>
      </c>
      <c r="E91" s="10" t="s">
        <v>387</v>
      </c>
      <c r="F91" s="10" t="s">
        <v>388</v>
      </c>
      <c r="G91" s="10" t="s">
        <v>89</v>
      </c>
      <c r="H91" s="10" t="s">
        <v>90</v>
      </c>
      <c r="I91" s="11" t="s">
        <v>339</v>
      </c>
      <c r="J91" s="11"/>
      <c r="K91" s="11"/>
      <c r="L91" s="11"/>
      <c r="M91" s="11"/>
      <c r="N91" s="11"/>
      <c r="O91" s="12"/>
      <c r="P91" s="11"/>
      <c r="Q91" s="11"/>
      <c r="R91" s="11"/>
    </row>
    <row r="92" customFormat="false" ht="23.85" hidden="false" customHeight="false" outlineLevel="0" collapsed="false">
      <c r="A92" s="10" t="s">
        <v>389</v>
      </c>
      <c r="B92" s="10" t="s">
        <v>384</v>
      </c>
      <c r="C92" s="10" t="s">
        <v>390</v>
      </c>
      <c r="D92" s="10" t="s">
        <v>386</v>
      </c>
      <c r="E92" s="10" t="s">
        <v>391</v>
      </c>
      <c r="F92" s="10" t="s">
        <v>388</v>
      </c>
      <c r="G92" s="10" t="s">
        <v>89</v>
      </c>
      <c r="H92" s="10" t="s">
        <v>90</v>
      </c>
      <c r="I92" s="11" t="s">
        <v>339</v>
      </c>
      <c r="J92" s="11"/>
      <c r="K92" s="11"/>
      <c r="L92" s="11"/>
      <c r="M92" s="11"/>
      <c r="N92" s="11"/>
      <c r="O92" s="12"/>
      <c r="P92" s="11"/>
      <c r="Q92" s="11"/>
      <c r="R92" s="11"/>
    </row>
    <row r="93" customFormat="false" ht="23.85" hidden="false" customHeight="false" outlineLevel="0" collapsed="false">
      <c r="A93" s="10" t="s">
        <v>392</v>
      </c>
      <c r="B93" s="10" t="s">
        <v>384</v>
      </c>
      <c r="C93" s="10" t="s">
        <v>393</v>
      </c>
      <c r="D93" s="10" t="s">
        <v>394</v>
      </c>
      <c r="E93" s="10" t="s">
        <v>395</v>
      </c>
      <c r="F93" s="10" t="s">
        <v>331</v>
      </c>
      <c r="G93" s="10" t="s">
        <v>89</v>
      </c>
      <c r="H93" s="10" t="s">
        <v>90</v>
      </c>
      <c r="I93" s="11" t="s">
        <v>339</v>
      </c>
      <c r="J93" s="11"/>
      <c r="K93" s="11"/>
      <c r="L93" s="11"/>
      <c r="M93" s="11"/>
      <c r="N93" s="11"/>
      <c r="O93" s="12"/>
      <c r="P93" s="11"/>
      <c r="Q93" s="11"/>
      <c r="R93" s="11"/>
    </row>
    <row r="94" customFormat="false" ht="23.85" hidden="false" customHeight="false" outlineLevel="0" collapsed="false">
      <c r="A94" s="10" t="s">
        <v>396</v>
      </c>
      <c r="B94" s="10" t="s">
        <v>384</v>
      </c>
      <c r="C94" s="10" t="s">
        <v>397</v>
      </c>
      <c r="D94" s="10" t="s">
        <v>386</v>
      </c>
      <c r="E94" s="10" t="s">
        <v>398</v>
      </c>
      <c r="F94" s="10" t="s">
        <v>388</v>
      </c>
      <c r="G94" s="10" t="s">
        <v>89</v>
      </c>
      <c r="H94" s="10" t="s">
        <v>90</v>
      </c>
      <c r="I94" s="11" t="s">
        <v>339</v>
      </c>
      <c r="J94" s="11"/>
      <c r="K94" s="11"/>
      <c r="L94" s="11"/>
      <c r="M94" s="11"/>
      <c r="N94" s="11"/>
      <c r="O94" s="12"/>
      <c r="P94" s="11"/>
      <c r="Q94" s="11"/>
      <c r="R94" s="11"/>
    </row>
    <row r="95" customFormat="false" ht="23.85" hidden="false" customHeight="false" outlineLevel="0" collapsed="false">
      <c r="A95" s="10" t="s">
        <v>399</v>
      </c>
      <c r="B95" s="10" t="s">
        <v>384</v>
      </c>
      <c r="C95" s="10" t="s">
        <v>400</v>
      </c>
      <c r="D95" s="10" t="s">
        <v>386</v>
      </c>
      <c r="E95" s="10" t="s">
        <v>330</v>
      </c>
      <c r="F95" s="10" t="s">
        <v>388</v>
      </c>
      <c r="G95" s="10" t="s">
        <v>89</v>
      </c>
      <c r="H95" s="10" t="s">
        <v>90</v>
      </c>
      <c r="I95" s="11" t="s">
        <v>339</v>
      </c>
      <c r="J95" s="11"/>
      <c r="K95" s="11"/>
      <c r="L95" s="11"/>
      <c r="M95" s="11"/>
      <c r="N95" s="11"/>
      <c r="O95" s="12"/>
      <c r="P95" s="11"/>
      <c r="Q95" s="11"/>
      <c r="R95" s="11"/>
    </row>
    <row r="96" customFormat="false" ht="23.85" hidden="false" customHeight="false" outlineLevel="0" collapsed="false">
      <c r="A96" s="10" t="s">
        <v>401</v>
      </c>
      <c r="B96" s="10" t="s">
        <v>384</v>
      </c>
      <c r="C96" s="10" t="s">
        <v>402</v>
      </c>
      <c r="D96" s="10" t="s">
        <v>386</v>
      </c>
      <c r="E96" s="10" t="s">
        <v>403</v>
      </c>
      <c r="F96" s="10" t="s">
        <v>388</v>
      </c>
      <c r="G96" s="10" t="s">
        <v>89</v>
      </c>
      <c r="H96" s="10" t="s">
        <v>90</v>
      </c>
      <c r="I96" s="11" t="s">
        <v>339</v>
      </c>
      <c r="J96" s="11"/>
      <c r="K96" s="11"/>
      <c r="L96" s="11"/>
      <c r="M96" s="11"/>
      <c r="N96" s="11"/>
      <c r="O96" s="12"/>
      <c r="P96" s="11"/>
      <c r="Q96" s="11"/>
      <c r="R96" s="11"/>
    </row>
    <row r="97" customFormat="false" ht="15" hidden="false" customHeight="false" outlineLevel="0" collapsed="false">
      <c r="A97" s="10" t="s">
        <v>404</v>
      </c>
      <c r="B97" s="10" t="s">
        <v>384</v>
      </c>
      <c r="C97" s="10" t="s">
        <v>405</v>
      </c>
      <c r="D97" s="10" t="s">
        <v>386</v>
      </c>
      <c r="E97" s="10" t="s">
        <v>406</v>
      </c>
      <c r="F97" s="10" t="s">
        <v>388</v>
      </c>
      <c r="G97" s="10" t="s">
        <v>89</v>
      </c>
      <c r="H97" s="10" t="s">
        <v>90</v>
      </c>
      <c r="I97" s="11" t="s">
        <v>339</v>
      </c>
      <c r="J97" s="11"/>
      <c r="K97" s="11"/>
      <c r="L97" s="11"/>
      <c r="M97" s="11"/>
      <c r="N97" s="11"/>
      <c r="O97" s="12"/>
      <c r="P97" s="11"/>
      <c r="Q97" s="11"/>
      <c r="R97" s="11"/>
    </row>
    <row r="98" customFormat="false" ht="23.85" hidden="false" customHeight="false" outlineLevel="0" collapsed="false">
      <c r="A98" s="10" t="s">
        <v>407</v>
      </c>
      <c r="B98" s="10" t="s">
        <v>384</v>
      </c>
      <c r="C98" s="10" t="s">
        <v>408</v>
      </c>
      <c r="D98" s="10" t="s">
        <v>409</v>
      </c>
      <c r="E98" s="10" t="s">
        <v>410</v>
      </c>
      <c r="F98" s="10" t="s">
        <v>388</v>
      </c>
      <c r="G98" s="10" t="s">
        <v>89</v>
      </c>
      <c r="H98" s="10" t="s">
        <v>90</v>
      </c>
      <c r="I98" s="11" t="s">
        <v>339</v>
      </c>
      <c r="J98" s="11"/>
      <c r="K98" s="11"/>
      <c r="L98" s="11"/>
      <c r="M98" s="11"/>
      <c r="N98" s="11"/>
      <c r="O98" s="12"/>
      <c r="P98" s="11"/>
      <c r="Q98" s="11"/>
      <c r="R98" s="11"/>
    </row>
    <row r="99" customFormat="false" ht="23.85" hidden="false" customHeight="false" outlineLevel="0" collapsed="false">
      <c r="A99" s="10" t="s">
        <v>411</v>
      </c>
      <c r="B99" s="10" t="s">
        <v>384</v>
      </c>
      <c r="C99" s="10" t="s">
        <v>412</v>
      </c>
      <c r="D99" s="10" t="s">
        <v>413</v>
      </c>
      <c r="E99" s="10" t="s">
        <v>414</v>
      </c>
      <c r="F99" s="10" t="s">
        <v>331</v>
      </c>
      <c r="G99" s="10" t="s">
        <v>89</v>
      </c>
      <c r="H99" s="10" t="s">
        <v>90</v>
      </c>
      <c r="I99" s="11" t="s">
        <v>339</v>
      </c>
      <c r="J99" s="11"/>
      <c r="K99" s="11"/>
      <c r="L99" s="11"/>
      <c r="M99" s="11"/>
      <c r="N99" s="11"/>
      <c r="O99" s="12"/>
      <c r="P99" s="11"/>
      <c r="Q99" s="11"/>
      <c r="R99" s="11"/>
    </row>
    <row r="100" customFormat="false" ht="23.85" hidden="false" customHeight="false" outlineLevel="0" collapsed="false">
      <c r="A100" s="10" t="s">
        <v>415</v>
      </c>
      <c r="B100" s="10" t="s">
        <v>384</v>
      </c>
      <c r="C100" s="10" t="s">
        <v>416</v>
      </c>
      <c r="D100" s="10" t="s">
        <v>386</v>
      </c>
      <c r="E100" s="10" t="s">
        <v>417</v>
      </c>
      <c r="F100" s="10" t="s">
        <v>388</v>
      </c>
      <c r="G100" s="10" t="s">
        <v>89</v>
      </c>
      <c r="H100" s="10" t="s">
        <v>90</v>
      </c>
      <c r="I100" s="11" t="s">
        <v>339</v>
      </c>
      <c r="J100" s="11"/>
      <c r="K100" s="11"/>
      <c r="L100" s="11"/>
      <c r="M100" s="11"/>
      <c r="N100" s="11"/>
      <c r="O100" s="12"/>
      <c r="P100" s="11"/>
      <c r="Q100" s="11"/>
      <c r="R100" s="11"/>
    </row>
    <row r="101" customFormat="false" ht="23.85" hidden="false" customHeight="false" outlineLevel="0" collapsed="false">
      <c r="A101" s="10" t="s">
        <v>418</v>
      </c>
      <c r="B101" s="10" t="s">
        <v>384</v>
      </c>
      <c r="C101" s="10" t="s">
        <v>419</v>
      </c>
      <c r="D101" s="10" t="s">
        <v>386</v>
      </c>
      <c r="E101" s="10" t="s">
        <v>420</v>
      </c>
      <c r="F101" s="10" t="s">
        <v>388</v>
      </c>
      <c r="G101" s="10" t="s">
        <v>89</v>
      </c>
      <c r="H101" s="10" t="s">
        <v>90</v>
      </c>
      <c r="I101" s="11" t="s">
        <v>339</v>
      </c>
      <c r="J101" s="11"/>
      <c r="K101" s="11"/>
      <c r="L101" s="11"/>
      <c r="M101" s="11"/>
      <c r="N101" s="11"/>
      <c r="O101" s="12"/>
      <c r="P101" s="11"/>
      <c r="Q101" s="11"/>
      <c r="R101" s="11"/>
    </row>
    <row r="102" customFormat="false" ht="23.85" hidden="false" customHeight="false" outlineLevel="0" collapsed="false">
      <c r="A102" s="10" t="s">
        <v>421</v>
      </c>
      <c r="B102" s="10" t="s">
        <v>422</v>
      </c>
      <c r="C102" s="10" t="s">
        <v>423</v>
      </c>
      <c r="D102" s="10" t="s">
        <v>329</v>
      </c>
      <c r="E102" s="10" t="s">
        <v>424</v>
      </c>
      <c r="F102" s="10" t="s">
        <v>331</v>
      </c>
      <c r="G102" s="10" t="s">
        <v>89</v>
      </c>
      <c r="H102" s="10" t="s">
        <v>90</v>
      </c>
      <c r="I102" s="11" t="s">
        <v>339</v>
      </c>
      <c r="J102" s="25"/>
      <c r="K102" s="11"/>
      <c r="L102" s="25"/>
      <c r="M102" s="11"/>
      <c r="N102" s="25"/>
      <c r="O102" s="12"/>
      <c r="P102" s="11"/>
      <c r="Q102" s="11"/>
      <c r="R102" s="11"/>
    </row>
    <row r="103" customFormat="false" ht="23.85" hidden="false" customHeight="false" outlineLevel="0" collapsed="false">
      <c r="A103" s="10" t="s">
        <v>425</v>
      </c>
      <c r="B103" s="10" t="s">
        <v>422</v>
      </c>
      <c r="C103" s="10" t="s">
        <v>426</v>
      </c>
      <c r="D103" s="10" t="s">
        <v>329</v>
      </c>
      <c r="E103" s="10" t="s">
        <v>427</v>
      </c>
      <c r="F103" s="10" t="s">
        <v>331</v>
      </c>
      <c r="G103" s="10" t="s">
        <v>89</v>
      </c>
      <c r="H103" s="10" t="s">
        <v>90</v>
      </c>
      <c r="I103" s="11" t="s">
        <v>339</v>
      </c>
      <c r="J103" s="25"/>
      <c r="K103" s="11"/>
      <c r="L103" s="25"/>
      <c r="M103" s="11"/>
      <c r="N103" s="25"/>
      <c r="O103" s="12"/>
      <c r="P103" s="11"/>
      <c r="Q103" s="11"/>
      <c r="R103" s="11"/>
    </row>
    <row r="104" customFormat="false" ht="23.85" hidden="false" customHeight="false" outlineLevel="0" collapsed="false">
      <c r="A104" s="10" t="s">
        <v>428</v>
      </c>
      <c r="B104" s="10" t="s">
        <v>422</v>
      </c>
      <c r="C104" s="10" t="s">
        <v>429</v>
      </c>
      <c r="D104" s="10" t="s">
        <v>329</v>
      </c>
      <c r="E104" s="10" t="s">
        <v>430</v>
      </c>
      <c r="F104" s="10" t="s">
        <v>331</v>
      </c>
      <c r="G104" s="10" t="s">
        <v>89</v>
      </c>
      <c r="H104" s="10" t="s">
        <v>90</v>
      </c>
      <c r="I104" s="11" t="s">
        <v>339</v>
      </c>
      <c r="J104" s="25"/>
      <c r="K104" s="11"/>
      <c r="L104" s="25"/>
      <c r="M104" s="11"/>
      <c r="N104" s="25"/>
      <c r="O104" s="12"/>
      <c r="P104" s="11"/>
      <c r="Q104" s="11"/>
      <c r="R104" s="11"/>
    </row>
    <row r="105" customFormat="false" ht="23.85" hidden="false" customHeight="false" outlineLevel="0" collapsed="false">
      <c r="A105" s="10" t="s">
        <v>431</v>
      </c>
      <c r="B105" s="10" t="s">
        <v>422</v>
      </c>
      <c r="C105" s="10" t="s">
        <v>432</v>
      </c>
      <c r="D105" s="10" t="s">
        <v>329</v>
      </c>
      <c r="E105" s="10" t="s">
        <v>433</v>
      </c>
      <c r="F105" s="10" t="s">
        <v>331</v>
      </c>
      <c r="G105" s="10" t="s">
        <v>89</v>
      </c>
      <c r="H105" s="10" t="s">
        <v>90</v>
      </c>
      <c r="I105" s="11" t="s">
        <v>339</v>
      </c>
      <c r="J105" s="25"/>
      <c r="K105" s="11"/>
      <c r="L105" s="25"/>
      <c r="M105" s="11"/>
      <c r="N105" s="25"/>
      <c r="O105" s="12"/>
      <c r="P105" s="11"/>
      <c r="Q105" s="11"/>
      <c r="R105" s="11"/>
    </row>
    <row r="106" customFormat="false" ht="23.85" hidden="false" customHeight="false" outlineLevel="0" collapsed="false">
      <c r="A106" s="10" t="s">
        <v>434</v>
      </c>
      <c r="B106" s="10" t="s">
        <v>422</v>
      </c>
      <c r="C106" s="10" t="s">
        <v>435</v>
      </c>
      <c r="D106" s="10" t="s">
        <v>329</v>
      </c>
      <c r="E106" s="10" t="s">
        <v>433</v>
      </c>
      <c r="F106" s="10" t="s">
        <v>331</v>
      </c>
      <c r="G106" s="10" t="s">
        <v>89</v>
      </c>
      <c r="H106" s="10" t="s">
        <v>90</v>
      </c>
      <c r="I106" s="11" t="s">
        <v>339</v>
      </c>
      <c r="J106" s="25"/>
      <c r="K106" s="11"/>
      <c r="L106" s="25"/>
      <c r="M106" s="11"/>
      <c r="N106" s="25"/>
      <c r="O106" s="12"/>
      <c r="P106" s="11"/>
      <c r="Q106" s="11"/>
      <c r="R106" s="11"/>
    </row>
    <row r="107" customFormat="false" ht="23.85" hidden="false" customHeight="false" outlineLevel="0" collapsed="false">
      <c r="A107" s="10" t="s">
        <v>436</v>
      </c>
      <c r="B107" s="10" t="s">
        <v>437</v>
      </c>
      <c r="C107" s="10" t="s">
        <v>438</v>
      </c>
      <c r="D107" s="10" t="s">
        <v>439</v>
      </c>
      <c r="E107" s="10" t="s">
        <v>440</v>
      </c>
      <c r="F107" s="10" t="s">
        <v>441</v>
      </c>
      <c r="G107" s="10" t="s">
        <v>89</v>
      </c>
      <c r="H107" s="10" t="s">
        <v>90</v>
      </c>
      <c r="I107" s="11" t="s">
        <v>339</v>
      </c>
      <c r="J107" s="11"/>
      <c r="K107" s="11"/>
      <c r="L107" s="11"/>
      <c r="M107" s="11"/>
      <c r="N107" s="11"/>
      <c r="O107" s="12"/>
      <c r="P107" s="11"/>
      <c r="Q107" s="11"/>
      <c r="R107" s="11"/>
    </row>
    <row r="108" customFormat="false" ht="15" hidden="false" customHeight="false" outlineLevel="0" collapsed="false">
      <c r="A108" s="10" t="s">
        <v>442</v>
      </c>
      <c r="B108" s="10" t="s">
        <v>437</v>
      </c>
      <c r="C108" s="10" t="s">
        <v>443</v>
      </c>
      <c r="D108" s="10" t="s">
        <v>329</v>
      </c>
      <c r="E108" s="10" t="s">
        <v>444</v>
      </c>
      <c r="F108" s="10" t="s">
        <v>331</v>
      </c>
      <c r="G108" s="10" t="s">
        <v>89</v>
      </c>
      <c r="H108" s="10" t="s">
        <v>90</v>
      </c>
      <c r="I108" s="11" t="s">
        <v>339</v>
      </c>
      <c r="J108" s="25"/>
      <c r="K108" s="11"/>
      <c r="L108" s="25"/>
      <c r="M108" s="11"/>
      <c r="N108" s="25"/>
      <c r="O108" s="12"/>
      <c r="P108" s="11"/>
      <c r="Q108" s="11"/>
      <c r="R108" s="11"/>
    </row>
    <row r="109" customFormat="false" ht="23.85" hidden="false" customHeight="false" outlineLevel="0" collapsed="false">
      <c r="A109" s="10" t="s">
        <v>326</v>
      </c>
      <c r="B109" s="10" t="s">
        <v>327</v>
      </c>
      <c r="C109" s="10" t="s">
        <v>338</v>
      </c>
      <c r="D109" s="10" t="s">
        <v>329</v>
      </c>
      <c r="E109" s="10" t="s">
        <v>330</v>
      </c>
      <c r="F109" s="10" t="s">
        <v>331</v>
      </c>
      <c r="G109" s="10" t="s">
        <v>93</v>
      </c>
      <c r="H109" s="10" t="s">
        <v>94</v>
      </c>
      <c r="I109" s="11" t="s">
        <v>339</v>
      </c>
      <c r="J109" s="25"/>
      <c r="K109" s="11"/>
      <c r="L109" s="25"/>
      <c r="M109" s="11"/>
      <c r="N109" s="25"/>
      <c r="O109" s="12"/>
      <c r="P109" s="11"/>
      <c r="Q109" s="11"/>
      <c r="R109" s="11"/>
    </row>
    <row r="110" customFormat="false" ht="23.85" hidden="false" customHeight="false" outlineLevel="0" collapsed="false">
      <c r="A110" s="10" t="s">
        <v>340</v>
      </c>
      <c r="B110" s="10" t="s">
        <v>327</v>
      </c>
      <c r="C110" s="10" t="s">
        <v>341</v>
      </c>
      <c r="D110" s="10" t="s">
        <v>329</v>
      </c>
      <c r="E110" s="10" t="s">
        <v>330</v>
      </c>
      <c r="F110" s="10" t="s">
        <v>331</v>
      </c>
      <c r="G110" s="10" t="s">
        <v>93</v>
      </c>
      <c r="H110" s="10" t="s">
        <v>94</v>
      </c>
      <c r="I110" s="11" t="s">
        <v>339</v>
      </c>
      <c r="J110" s="25"/>
      <c r="K110" s="11"/>
      <c r="L110" s="25"/>
      <c r="M110" s="11"/>
      <c r="N110" s="25"/>
      <c r="O110" s="12"/>
      <c r="P110" s="11"/>
      <c r="Q110" s="11"/>
      <c r="R110" s="11"/>
    </row>
    <row r="111" customFormat="false" ht="15" hidden="false" customHeight="false" outlineLevel="0" collapsed="false">
      <c r="A111" s="10" t="s">
        <v>342</v>
      </c>
      <c r="B111" s="10" t="s">
        <v>327</v>
      </c>
      <c r="C111" s="10" t="s">
        <v>343</v>
      </c>
      <c r="D111" s="10" t="s">
        <v>329</v>
      </c>
      <c r="E111" s="10" t="s">
        <v>344</v>
      </c>
      <c r="F111" s="10" t="s">
        <v>331</v>
      </c>
      <c r="G111" s="10" t="s">
        <v>93</v>
      </c>
      <c r="H111" s="10" t="s">
        <v>94</v>
      </c>
      <c r="I111" s="11" t="s">
        <v>339</v>
      </c>
      <c r="J111" s="25"/>
      <c r="K111" s="11"/>
      <c r="L111" s="25"/>
      <c r="M111" s="11"/>
      <c r="N111" s="25"/>
      <c r="O111" s="12"/>
      <c r="P111" s="11"/>
      <c r="Q111" s="11"/>
      <c r="R111" s="11"/>
    </row>
    <row r="112" customFormat="false" ht="15" hidden="false" customHeight="false" outlineLevel="0" collapsed="false">
      <c r="A112" s="10" t="s">
        <v>345</v>
      </c>
      <c r="B112" s="10" t="s">
        <v>327</v>
      </c>
      <c r="C112" s="10" t="s">
        <v>346</v>
      </c>
      <c r="D112" s="10" t="s">
        <v>329</v>
      </c>
      <c r="E112" s="10" t="s">
        <v>344</v>
      </c>
      <c r="F112" s="10" t="s">
        <v>331</v>
      </c>
      <c r="G112" s="10" t="s">
        <v>93</v>
      </c>
      <c r="H112" s="10" t="s">
        <v>94</v>
      </c>
      <c r="I112" s="11" t="s">
        <v>339</v>
      </c>
      <c r="J112" s="25"/>
      <c r="K112" s="11"/>
      <c r="L112" s="25"/>
      <c r="M112" s="11"/>
      <c r="N112" s="25"/>
      <c r="O112" s="12"/>
      <c r="P112" s="11"/>
      <c r="Q112" s="11"/>
      <c r="R112" s="11"/>
    </row>
    <row r="113" customFormat="false" ht="23.85" hidden="false" customHeight="false" outlineLevel="0" collapsed="false">
      <c r="A113" s="10" t="s">
        <v>347</v>
      </c>
      <c r="B113" s="10" t="s">
        <v>327</v>
      </c>
      <c r="C113" s="10" t="s">
        <v>348</v>
      </c>
      <c r="D113" s="10" t="s">
        <v>329</v>
      </c>
      <c r="E113" s="10" t="s">
        <v>330</v>
      </c>
      <c r="F113" s="10" t="s">
        <v>331</v>
      </c>
      <c r="G113" s="10" t="s">
        <v>93</v>
      </c>
      <c r="H113" s="10" t="s">
        <v>94</v>
      </c>
      <c r="I113" s="11" t="s">
        <v>339</v>
      </c>
      <c r="J113" s="25"/>
      <c r="K113" s="11"/>
      <c r="L113" s="25"/>
      <c r="M113" s="11"/>
      <c r="N113" s="25"/>
      <c r="O113" s="12"/>
      <c r="P113" s="11"/>
      <c r="Q113" s="11"/>
      <c r="R113" s="11"/>
    </row>
    <row r="114" customFormat="false" ht="23.85" hidden="false" customHeight="false" outlineLevel="0" collapsed="false">
      <c r="A114" s="10" t="s">
        <v>349</v>
      </c>
      <c r="B114" s="10" t="s">
        <v>327</v>
      </c>
      <c r="C114" s="10" t="s">
        <v>350</v>
      </c>
      <c r="D114" s="10" t="s">
        <v>329</v>
      </c>
      <c r="E114" s="10" t="s">
        <v>351</v>
      </c>
      <c r="F114" s="10" t="s">
        <v>331</v>
      </c>
      <c r="G114" s="10" t="s">
        <v>93</v>
      </c>
      <c r="H114" s="10" t="s">
        <v>94</v>
      </c>
      <c r="I114" s="11" t="s">
        <v>339</v>
      </c>
      <c r="J114" s="25"/>
      <c r="K114" s="11"/>
      <c r="L114" s="25"/>
      <c r="M114" s="11"/>
      <c r="N114" s="25"/>
      <c r="O114" s="12"/>
      <c r="P114" s="11"/>
      <c r="Q114" s="11"/>
      <c r="R114" s="11"/>
    </row>
    <row r="115" customFormat="false" ht="23.85" hidden="false" customHeight="false" outlineLevel="0" collapsed="false">
      <c r="A115" s="10" t="s">
        <v>352</v>
      </c>
      <c r="B115" s="10" t="s">
        <v>327</v>
      </c>
      <c r="C115" s="10" t="s">
        <v>353</v>
      </c>
      <c r="D115" s="10" t="s">
        <v>354</v>
      </c>
      <c r="E115" s="10" t="s">
        <v>355</v>
      </c>
      <c r="F115" s="10" t="s">
        <v>356</v>
      </c>
      <c r="G115" s="10" t="s">
        <v>93</v>
      </c>
      <c r="H115" s="10" t="s">
        <v>94</v>
      </c>
      <c r="I115" s="11" t="s">
        <v>339</v>
      </c>
      <c r="J115" s="11"/>
      <c r="K115" s="11"/>
      <c r="L115" s="11"/>
      <c r="M115" s="11"/>
      <c r="N115" s="11"/>
      <c r="O115" s="12"/>
      <c r="P115" s="11"/>
      <c r="Q115" s="11"/>
      <c r="R115" s="11"/>
    </row>
    <row r="116" customFormat="false" ht="23.85" hidden="false" customHeight="false" outlineLevel="0" collapsed="false">
      <c r="A116" s="10" t="s">
        <v>357</v>
      </c>
      <c r="B116" s="10" t="s">
        <v>358</v>
      </c>
      <c r="C116" s="10" t="s">
        <v>359</v>
      </c>
      <c r="D116" s="10" t="s">
        <v>360</v>
      </c>
      <c r="E116" s="10" t="s">
        <v>361</v>
      </c>
      <c r="F116" s="10" t="s">
        <v>356</v>
      </c>
      <c r="G116" s="10" t="s">
        <v>93</v>
      </c>
      <c r="H116" s="10" t="s">
        <v>94</v>
      </c>
      <c r="I116" s="11" t="s">
        <v>339</v>
      </c>
      <c r="J116" s="26"/>
      <c r="K116" s="11"/>
      <c r="L116" s="26"/>
      <c r="M116" s="11"/>
      <c r="N116" s="26"/>
      <c r="O116" s="12"/>
      <c r="P116" s="11"/>
      <c r="Q116" s="11"/>
      <c r="R116" s="11"/>
    </row>
    <row r="117" customFormat="false" ht="23.85" hidden="false" customHeight="false" outlineLevel="0" collapsed="false">
      <c r="A117" s="10" t="s">
        <v>362</v>
      </c>
      <c r="B117" s="10" t="s">
        <v>358</v>
      </c>
      <c r="C117" s="10" t="s">
        <v>363</v>
      </c>
      <c r="D117" s="10" t="s">
        <v>360</v>
      </c>
      <c r="E117" s="10" t="s">
        <v>361</v>
      </c>
      <c r="F117" s="10" t="s">
        <v>356</v>
      </c>
      <c r="G117" s="10" t="s">
        <v>93</v>
      </c>
      <c r="H117" s="10" t="s">
        <v>94</v>
      </c>
      <c r="I117" s="11" t="s">
        <v>339</v>
      </c>
      <c r="J117" s="26"/>
      <c r="K117" s="11"/>
      <c r="L117" s="26"/>
      <c r="M117" s="11"/>
      <c r="N117" s="26"/>
      <c r="O117" s="12"/>
      <c r="P117" s="11"/>
      <c r="Q117" s="11"/>
      <c r="R117" s="11"/>
    </row>
    <row r="118" customFormat="false" ht="15" hidden="false" customHeight="false" outlineLevel="0" collapsed="false">
      <c r="A118" s="10" t="s">
        <v>364</v>
      </c>
      <c r="B118" s="10" t="s">
        <v>358</v>
      </c>
      <c r="C118" s="10" t="s">
        <v>365</v>
      </c>
      <c r="D118" s="10" t="s">
        <v>360</v>
      </c>
      <c r="E118" s="10" t="s">
        <v>361</v>
      </c>
      <c r="F118" s="10" t="s">
        <v>356</v>
      </c>
      <c r="G118" s="10" t="s">
        <v>93</v>
      </c>
      <c r="H118" s="10" t="s">
        <v>94</v>
      </c>
      <c r="I118" s="11" t="s">
        <v>339</v>
      </c>
      <c r="J118" s="26"/>
      <c r="K118" s="11"/>
      <c r="L118" s="26"/>
      <c r="M118" s="11"/>
      <c r="N118" s="26"/>
      <c r="O118" s="12"/>
      <c r="P118" s="11"/>
      <c r="Q118" s="11"/>
      <c r="R118" s="11"/>
    </row>
    <row r="119" customFormat="false" ht="15" hidden="false" customHeight="false" outlineLevel="0" collapsed="false">
      <c r="A119" s="10" t="s">
        <v>366</v>
      </c>
      <c r="B119" s="10" t="s">
        <v>358</v>
      </c>
      <c r="C119" s="10" t="s">
        <v>367</v>
      </c>
      <c r="D119" s="10" t="s">
        <v>360</v>
      </c>
      <c r="E119" s="10" t="s">
        <v>361</v>
      </c>
      <c r="F119" s="10" t="s">
        <v>356</v>
      </c>
      <c r="G119" s="10" t="s">
        <v>93</v>
      </c>
      <c r="H119" s="10" t="s">
        <v>94</v>
      </c>
      <c r="I119" s="11" t="s">
        <v>339</v>
      </c>
      <c r="J119" s="26"/>
      <c r="K119" s="11"/>
      <c r="L119" s="26"/>
      <c r="M119" s="11"/>
      <c r="N119" s="26"/>
      <c r="O119" s="12"/>
      <c r="P119" s="11"/>
      <c r="Q119" s="11"/>
      <c r="R119" s="11"/>
    </row>
    <row r="120" customFormat="false" ht="23.85" hidden="false" customHeight="false" outlineLevel="0" collapsed="false">
      <c r="A120" s="10" t="s">
        <v>368</v>
      </c>
      <c r="B120" s="10" t="s">
        <v>358</v>
      </c>
      <c r="C120" s="10" t="s">
        <v>369</v>
      </c>
      <c r="D120" s="10" t="s">
        <v>360</v>
      </c>
      <c r="E120" s="10" t="s">
        <v>370</v>
      </c>
      <c r="F120" s="10" t="s">
        <v>356</v>
      </c>
      <c r="G120" s="10" t="s">
        <v>93</v>
      </c>
      <c r="H120" s="10" t="s">
        <v>94</v>
      </c>
      <c r="I120" s="11" t="s">
        <v>339</v>
      </c>
      <c r="J120" s="26"/>
      <c r="K120" s="11"/>
      <c r="L120" s="26"/>
      <c r="M120" s="11"/>
      <c r="N120" s="26"/>
      <c r="O120" s="12"/>
      <c r="P120" s="11"/>
      <c r="Q120" s="11"/>
      <c r="R120" s="11"/>
    </row>
    <row r="121" customFormat="false" ht="23.85" hidden="false" customHeight="false" outlineLevel="0" collapsed="false">
      <c r="A121" s="10" t="s">
        <v>371</v>
      </c>
      <c r="B121" s="10" t="s">
        <v>358</v>
      </c>
      <c r="C121" s="10" t="s">
        <v>372</v>
      </c>
      <c r="D121" s="10" t="s">
        <v>329</v>
      </c>
      <c r="E121" s="10" t="s">
        <v>373</v>
      </c>
      <c r="F121" s="10" t="s">
        <v>356</v>
      </c>
      <c r="G121" s="10" t="s">
        <v>93</v>
      </c>
      <c r="H121" s="10" t="s">
        <v>94</v>
      </c>
      <c r="I121" s="11" t="s">
        <v>339</v>
      </c>
      <c r="J121" s="25"/>
      <c r="K121" s="11"/>
      <c r="L121" s="25"/>
      <c r="M121" s="11"/>
      <c r="N121" s="25"/>
      <c r="O121" s="12"/>
      <c r="P121" s="11"/>
      <c r="Q121" s="11"/>
      <c r="R121" s="11"/>
    </row>
    <row r="122" customFormat="false" ht="35.05" hidden="false" customHeight="false" outlineLevel="0" collapsed="false">
      <c r="A122" s="10" t="s">
        <v>374</v>
      </c>
      <c r="B122" s="10" t="s">
        <v>375</v>
      </c>
      <c r="C122" s="10" t="s">
        <v>376</v>
      </c>
      <c r="D122" s="10" t="s">
        <v>377</v>
      </c>
      <c r="E122" s="10" t="s">
        <v>378</v>
      </c>
      <c r="F122" s="10" t="s">
        <v>356</v>
      </c>
      <c r="G122" s="10" t="s">
        <v>93</v>
      </c>
      <c r="H122" s="10" t="s">
        <v>94</v>
      </c>
      <c r="I122" s="11" t="s">
        <v>339</v>
      </c>
      <c r="J122" s="11"/>
      <c r="K122" s="11"/>
      <c r="L122" s="11"/>
      <c r="M122" s="11"/>
      <c r="N122" s="11"/>
      <c r="O122" s="12"/>
      <c r="P122" s="11"/>
      <c r="Q122" s="11"/>
      <c r="R122" s="11"/>
    </row>
    <row r="123" customFormat="false" ht="23.85" hidden="false" customHeight="false" outlineLevel="0" collapsed="false">
      <c r="A123" s="10" t="s">
        <v>379</v>
      </c>
      <c r="B123" s="10" t="s">
        <v>375</v>
      </c>
      <c r="C123" s="10" t="s">
        <v>380</v>
      </c>
      <c r="D123" s="10" t="s">
        <v>377</v>
      </c>
      <c r="E123" s="10" t="s">
        <v>378</v>
      </c>
      <c r="F123" s="10" t="s">
        <v>356</v>
      </c>
      <c r="G123" s="10" t="s">
        <v>93</v>
      </c>
      <c r="H123" s="10" t="s">
        <v>94</v>
      </c>
      <c r="I123" s="11" t="s">
        <v>339</v>
      </c>
      <c r="J123" s="11"/>
      <c r="K123" s="11"/>
      <c r="L123" s="11"/>
      <c r="M123" s="11"/>
      <c r="N123" s="11"/>
      <c r="O123" s="12"/>
      <c r="P123" s="11"/>
      <c r="Q123" s="11"/>
      <c r="R123" s="11"/>
    </row>
    <row r="124" customFormat="false" ht="23.85" hidden="false" customHeight="false" outlineLevel="0" collapsed="false">
      <c r="A124" s="10" t="s">
        <v>381</v>
      </c>
      <c r="B124" s="10" t="s">
        <v>375</v>
      </c>
      <c r="C124" s="10" t="s">
        <v>382</v>
      </c>
      <c r="D124" s="10" t="s">
        <v>329</v>
      </c>
      <c r="E124" s="10" t="s">
        <v>378</v>
      </c>
      <c r="F124" s="10" t="s">
        <v>356</v>
      </c>
      <c r="G124" s="10" t="s">
        <v>93</v>
      </c>
      <c r="H124" s="10" t="s">
        <v>94</v>
      </c>
      <c r="I124" s="11" t="s">
        <v>339</v>
      </c>
      <c r="J124" s="25"/>
      <c r="K124" s="11"/>
      <c r="L124" s="25"/>
      <c r="M124" s="11"/>
      <c r="N124" s="25"/>
      <c r="O124" s="12"/>
      <c r="P124" s="11"/>
      <c r="Q124" s="11"/>
      <c r="R124" s="11"/>
    </row>
    <row r="125" customFormat="false" ht="23.85" hidden="false" customHeight="false" outlineLevel="0" collapsed="false">
      <c r="A125" s="10" t="s">
        <v>383</v>
      </c>
      <c r="B125" s="10" t="s">
        <v>384</v>
      </c>
      <c r="C125" s="10" t="s">
        <v>385</v>
      </c>
      <c r="D125" s="10" t="s">
        <v>386</v>
      </c>
      <c r="E125" s="10" t="s">
        <v>387</v>
      </c>
      <c r="F125" s="10" t="s">
        <v>388</v>
      </c>
      <c r="G125" s="10" t="s">
        <v>93</v>
      </c>
      <c r="H125" s="10" t="s">
        <v>94</v>
      </c>
      <c r="I125" s="11" t="s">
        <v>339</v>
      </c>
      <c r="J125" s="11"/>
      <c r="K125" s="11"/>
      <c r="L125" s="11"/>
      <c r="M125" s="11"/>
      <c r="N125" s="11"/>
      <c r="O125" s="12"/>
      <c r="P125" s="11"/>
      <c r="Q125" s="11"/>
      <c r="R125" s="11"/>
    </row>
    <row r="126" customFormat="false" ht="23.85" hidden="false" customHeight="false" outlineLevel="0" collapsed="false">
      <c r="A126" s="10" t="s">
        <v>389</v>
      </c>
      <c r="B126" s="10" t="s">
        <v>384</v>
      </c>
      <c r="C126" s="10" t="s">
        <v>390</v>
      </c>
      <c r="D126" s="10" t="s">
        <v>386</v>
      </c>
      <c r="E126" s="10" t="s">
        <v>391</v>
      </c>
      <c r="F126" s="10" t="s">
        <v>388</v>
      </c>
      <c r="G126" s="10" t="s">
        <v>93</v>
      </c>
      <c r="H126" s="10" t="s">
        <v>94</v>
      </c>
      <c r="I126" s="11" t="s">
        <v>339</v>
      </c>
      <c r="J126" s="11"/>
      <c r="K126" s="11"/>
      <c r="L126" s="11"/>
      <c r="M126" s="11"/>
      <c r="N126" s="11"/>
      <c r="O126" s="12"/>
      <c r="P126" s="11"/>
      <c r="Q126" s="11"/>
      <c r="R126" s="11"/>
    </row>
    <row r="127" customFormat="false" ht="23.85" hidden="false" customHeight="false" outlineLevel="0" collapsed="false">
      <c r="A127" s="10" t="s">
        <v>392</v>
      </c>
      <c r="B127" s="10" t="s">
        <v>384</v>
      </c>
      <c r="C127" s="10" t="s">
        <v>393</v>
      </c>
      <c r="D127" s="10" t="s">
        <v>394</v>
      </c>
      <c r="E127" s="10" t="s">
        <v>395</v>
      </c>
      <c r="F127" s="10" t="s">
        <v>331</v>
      </c>
      <c r="G127" s="10" t="s">
        <v>93</v>
      </c>
      <c r="H127" s="10" t="s">
        <v>94</v>
      </c>
      <c r="I127" s="11" t="s">
        <v>339</v>
      </c>
      <c r="J127" s="11"/>
      <c r="K127" s="11"/>
      <c r="L127" s="11"/>
      <c r="M127" s="11"/>
      <c r="N127" s="11"/>
      <c r="O127" s="12"/>
      <c r="P127" s="11"/>
      <c r="Q127" s="11"/>
      <c r="R127" s="11"/>
    </row>
    <row r="128" customFormat="false" ht="23.85" hidden="false" customHeight="false" outlineLevel="0" collapsed="false">
      <c r="A128" s="10" t="s">
        <v>396</v>
      </c>
      <c r="B128" s="10" t="s">
        <v>384</v>
      </c>
      <c r="C128" s="10" t="s">
        <v>397</v>
      </c>
      <c r="D128" s="10" t="s">
        <v>386</v>
      </c>
      <c r="E128" s="10" t="s">
        <v>398</v>
      </c>
      <c r="F128" s="10" t="s">
        <v>388</v>
      </c>
      <c r="G128" s="10" t="s">
        <v>93</v>
      </c>
      <c r="H128" s="10" t="s">
        <v>94</v>
      </c>
      <c r="I128" s="11" t="s">
        <v>339</v>
      </c>
      <c r="J128" s="11"/>
      <c r="K128" s="11"/>
      <c r="L128" s="11"/>
      <c r="M128" s="11"/>
      <c r="N128" s="11"/>
      <c r="O128" s="12"/>
      <c r="P128" s="11"/>
      <c r="Q128" s="11"/>
      <c r="R128" s="11"/>
    </row>
    <row r="129" customFormat="false" ht="23.85" hidden="false" customHeight="false" outlineLevel="0" collapsed="false">
      <c r="A129" s="10" t="s">
        <v>399</v>
      </c>
      <c r="B129" s="10" t="s">
        <v>384</v>
      </c>
      <c r="C129" s="10" t="s">
        <v>400</v>
      </c>
      <c r="D129" s="10" t="s">
        <v>386</v>
      </c>
      <c r="E129" s="10" t="s">
        <v>330</v>
      </c>
      <c r="F129" s="10" t="s">
        <v>388</v>
      </c>
      <c r="G129" s="10" t="s">
        <v>93</v>
      </c>
      <c r="H129" s="10" t="s">
        <v>94</v>
      </c>
      <c r="I129" s="11" t="s">
        <v>339</v>
      </c>
      <c r="J129" s="11"/>
      <c r="K129" s="11"/>
      <c r="L129" s="11"/>
      <c r="M129" s="11"/>
      <c r="N129" s="11"/>
      <c r="O129" s="12"/>
      <c r="P129" s="11"/>
      <c r="Q129" s="11"/>
      <c r="R129" s="11"/>
    </row>
    <row r="130" customFormat="false" ht="23.85" hidden="false" customHeight="false" outlineLevel="0" collapsed="false">
      <c r="A130" s="10" t="s">
        <v>401</v>
      </c>
      <c r="B130" s="10" t="s">
        <v>384</v>
      </c>
      <c r="C130" s="10" t="s">
        <v>402</v>
      </c>
      <c r="D130" s="10" t="s">
        <v>386</v>
      </c>
      <c r="E130" s="10" t="s">
        <v>403</v>
      </c>
      <c r="F130" s="10" t="s">
        <v>388</v>
      </c>
      <c r="G130" s="10" t="s">
        <v>93</v>
      </c>
      <c r="H130" s="10" t="s">
        <v>94</v>
      </c>
      <c r="I130" s="11" t="s">
        <v>339</v>
      </c>
      <c r="J130" s="11"/>
      <c r="K130" s="11"/>
      <c r="L130" s="11"/>
      <c r="M130" s="11"/>
      <c r="N130" s="11"/>
      <c r="O130" s="12"/>
      <c r="P130" s="11"/>
      <c r="Q130" s="11"/>
      <c r="R130" s="11"/>
    </row>
    <row r="131" customFormat="false" ht="15" hidden="false" customHeight="false" outlineLevel="0" collapsed="false">
      <c r="A131" s="10" t="s">
        <v>404</v>
      </c>
      <c r="B131" s="10" t="s">
        <v>384</v>
      </c>
      <c r="C131" s="10" t="s">
        <v>405</v>
      </c>
      <c r="D131" s="10" t="s">
        <v>386</v>
      </c>
      <c r="E131" s="10" t="s">
        <v>406</v>
      </c>
      <c r="F131" s="10" t="s">
        <v>388</v>
      </c>
      <c r="G131" s="10" t="s">
        <v>93</v>
      </c>
      <c r="H131" s="10" t="s">
        <v>94</v>
      </c>
      <c r="I131" s="11" t="s">
        <v>339</v>
      </c>
      <c r="J131" s="11"/>
      <c r="K131" s="11"/>
      <c r="L131" s="11"/>
      <c r="M131" s="11"/>
      <c r="N131" s="11"/>
      <c r="O131" s="12"/>
      <c r="P131" s="11"/>
      <c r="Q131" s="11"/>
      <c r="R131" s="11"/>
    </row>
    <row r="132" customFormat="false" ht="23.85" hidden="false" customHeight="false" outlineLevel="0" collapsed="false">
      <c r="A132" s="10" t="s">
        <v>407</v>
      </c>
      <c r="B132" s="10" t="s">
        <v>384</v>
      </c>
      <c r="C132" s="10" t="s">
        <v>408</v>
      </c>
      <c r="D132" s="10" t="s">
        <v>409</v>
      </c>
      <c r="E132" s="10" t="s">
        <v>410</v>
      </c>
      <c r="F132" s="10" t="s">
        <v>388</v>
      </c>
      <c r="G132" s="10" t="s">
        <v>93</v>
      </c>
      <c r="H132" s="10" t="s">
        <v>94</v>
      </c>
      <c r="I132" s="11" t="s">
        <v>339</v>
      </c>
      <c r="J132" s="11"/>
      <c r="K132" s="11"/>
      <c r="L132" s="11"/>
      <c r="M132" s="11"/>
      <c r="N132" s="11"/>
      <c r="O132" s="12"/>
      <c r="P132" s="11"/>
      <c r="Q132" s="11"/>
      <c r="R132" s="11"/>
    </row>
    <row r="133" customFormat="false" ht="23.85" hidden="false" customHeight="false" outlineLevel="0" collapsed="false">
      <c r="A133" s="10" t="s">
        <v>411</v>
      </c>
      <c r="B133" s="10" t="s">
        <v>384</v>
      </c>
      <c r="C133" s="10" t="s">
        <v>412</v>
      </c>
      <c r="D133" s="10" t="s">
        <v>413</v>
      </c>
      <c r="E133" s="10" t="s">
        <v>414</v>
      </c>
      <c r="F133" s="10" t="s">
        <v>331</v>
      </c>
      <c r="G133" s="10" t="s">
        <v>93</v>
      </c>
      <c r="H133" s="10" t="s">
        <v>94</v>
      </c>
      <c r="I133" s="11" t="s">
        <v>339</v>
      </c>
      <c r="J133" s="11"/>
      <c r="K133" s="11"/>
      <c r="L133" s="11"/>
      <c r="M133" s="11"/>
      <c r="N133" s="11"/>
      <c r="O133" s="12"/>
      <c r="P133" s="11"/>
      <c r="Q133" s="11"/>
      <c r="R133" s="11"/>
    </row>
    <row r="134" customFormat="false" ht="23.85" hidden="false" customHeight="false" outlineLevel="0" collapsed="false">
      <c r="A134" s="10" t="s">
        <v>415</v>
      </c>
      <c r="B134" s="10" t="s">
        <v>384</v>
      </c>
      <c r="C134" s="10" t="s">
        <v>416</v>
      </c>
      <c r="D134" s="10" t="s">
        <v>386</v>
      </c>
      <c r="E134" s="10" t="s">
        <v>417</v>
      </c>
      <c r="F134" s="10" t="s">
        <v>388</v>
      </c>
      <c r="G134" s="10" t="s">
        <v>93</v>
      </c>
      <c r="H134" s="10" t="s">
        <v>94</v>
      </c>
      <c r="I134" s="11" t="s">
        <v>339</v>
      </c>
      <c r="J134" s="11"/>
      <c r="K134" s="11"/>
      <c r="L134" s="11"/>
      <c r="M134" s="11"/>
      <c r="N134" s="11"/>
      <c r="O134" s="12"/>
      <c r="P134" s="11"/>
      <c r="Q134" s="11"/>
      <c r="R134" s="11"/>
    </row>
    <row r="135" customFormat="false" ht="23.85" hidden="false" customHeight="false" outlineLevel="0" collapsed="false">
      <c r="A135" s="10" t="s">
        <v>418</v>
      </c>
      <c r="B135" s="10" t="s">
        <v>384</v>
      </c>
      <c r="C135" s="10" t="s">
        <v>419</v>
      </c>
      <c r="D135" s="10" t="s">
        <v>386</v>
      </c>
      <c r="E135" s="10" t="s">
        <v>420</v>
      </c>
      <c r="F135" s="10" t="s">
        <v>388</v>
      </c>
      <c r="G135" s="10" t="s">
        <v>93</v>
      </c>
      <c r="H135" s="10" t="s">
        <v>94</v>
      </c>
      <c r="I135" s="11" t="s">
        <v>339</v>
      </c>
      <c r="J135" s="11"/>
      <c r="K135" s="11"/>
      <c r="L135" s="11"/>
      <c r="M135" s="11"/>
      <c r="N135" s="11"/>
      <c r="O135" s="12"/>
      <c r="P135" s="11"/>
      <c r="Q135" s="11"/>
      <c r="R135" s="11"/>
    </row>
    <row r="136" customFormat="false" ht="23.85" hidden="false" customHeight="false" outlineLevel="0" collapsed="false">
      <c r="A136" s="10" t="s">
        <v>421</v>
      </c>
      <c r="B136" s="10" t="s">
        <v>422</v>
      </c>
      <c r="C136" s="10" t="s">
        <v>423</v>
      </c>
      <c r="D136" s="10" t="s">
        <v>329</v>
      </c>
      <c r="E136" s="10" t="s">
        <v>424</v>
      </c>
      <c r="F136" s="10" t="s">
        <v>331</v>
      </c>
      <c r="G136" s="10" t="s">
        <v>93</v>
      </c>
      <c r="H136" s="10" t="s">
        <v>94</v>
      </c>
      <c r="I136" s="11" t="s">
        <v>339</v>
      </c>
      <c r="J136" s="25"/>
      <c r="K136" s="11"/>
      <c r="L136" s="25"/>
      <c r="M136" s="11"/>
      <c r="N136" s="25"/>
      <c r="O136" s="12"/>
      <c r="P136" s="11"/>
      <c r="Q136" s="11"/>
      <c r="R136" s="11"/>
    </row>
    <row r="137" customFormat="false" ht="23.85" hidden="false" customHeight="false" outlineLevel="0" collapsed="false">
      <c r="A137" s="10" t="s">
        <v>425</v>
      </c>
      <c r="B137" s="10" t="s">
        <v>422</v>
      </c>
      <c r="C137" s="10" t="s">
        <v>426</v>
      </c>
      <c r="D137" s="10" t="s">
        <v>329</v>
      </c>
      <c r="E137" s="10" t="s">
        <v>427</v>
      </c>
      <c r="F137" s="10" t="s">
        <v>331</v>
      </c>
      <c r="G137" s="10" t="s">
        <v>93</v>
      </c>
      <c r="H137" s="10" t="s">
        <v>94</v>
      </c>
      <c r="I137" s="11" t="s">
        <v>339</v>
      </c>
      <c r="J137" s="25"/>
      <c r="K137" s="11"/>
      <c r="L137" s="25"/>
      <c r="M137" s="11"/>
      <c r="N137" s="25"/>
      <c r="O137" s="12"/>
      <c r="P137" s="11"/>
      <c r="Q137" s="11"/>
      <c r="R137" s="11"/>
    </row>
    <row r="138" customFormat="false" ht="23.85" hidden="false" customHeight="false" outlineLevel="0" collapsed="false">
      <c r="A138" s="10" t="s">
        <v>428</v>
      </c>
      <c r="B138" s="10" t="s">
        <v>422</v>
      </c>
      <c r="C138" s="10" t="s">
        <v>429</v>
      </c>
      <c r="D138" s="10" t="s">
        <v>329</v>
      </c>
      <c r="E138" s="10" t="s">
        <v>430</v>
      </c>
      <c r="F138" s="10" t="s">
        <v>331</v>
      </c>
      <c r="G138" s="10" t="s">
        <v>93</v>
      </c>
      <c r="H138" s="10" t="s">
        <v>94</v>
      </c>
      <c r="I138" s="11" t="s">
        <v>339</v>
      </c>
      <c r="J138" s="25"/>
      <c r="K138" s="11"/>
      <c r="L138" s="25"/>
      <c r="M138" s="11"/>
      <c r="N138" s="25"/>
      <c r="O138" s="12"/>
      <c r="P138" s="11"/>
      <c r="Q138" s="11"/>
      <c r="R138" s="11"/>
    </row>
    <row r="139" customFormat="false" ht="23.85" hidden="false" customHeight="false" outlineLevel="0" collapsed="false">
      <c r="A139" s="10" t="s">
        <v>431</v>
      </c>
      <c r="B139" s="10" t="s">
        <v>422</v>
      </c>
      <c r="C139" s="10" t="s">
        <v>432</v>
      </c>
      <c r="D139" s="10" t="s">
        <v>329</v>
      </c>
      <c r="E139" s="10" t="s">
        <v>433</v>
      </c>
      <c r="F139" s="10" t="s">
        <v>331</v>
      </c>
      <c r="G139" s="10" t="s">
        <v>93</v>
      </c>
      <c r="H139" s="10" t="s">
        <v>94</v>
      </c>
      <c r="I139" s="11" t="s">
        <v>339</v>
      </c>
      <c r="J139" s="25"/>
      <c r="K139" s="11"/>
      <c r="L139" s="25"/>
      <c r="M139" s="11"/>
      <c r="N139" s="25"/>
      <c r="O139" s="12"/>
      <c r="P139" s="11"/>
      <c r="Q139" s="11"/>
      <c r="R139" s="11"/>
    </row>
    <row r="140" customFormat="false" ht="23.85" hidden="false" customHeight="false" outlineLevel="0" collapsed="false">
      <c r="A140" s="10" t="s">
        <v>434</v>
      </c>
      <c r="B140" s="10" t="s">
        <v>422</v>
      </c>
      <c r="C140" s="10" t="s">
        <v>435</v>
      </c>
      <c r="D140" s="10" t="s">
        <v>329</v>
      </c>
      <c r="E140" s="10" t="s">
        <v>433</v>
      </c>
      <c r="F140" s="10" t="s">
        <v>331</v>
      </c>
      <c r="G140" s="10" t="s">
        <v>93</v>
      </c>
      <c r="H140" s="10" t="s">
        <v>94</v>
      </c>
      <c r="I140" s="11" t="s">
        <v>339</v>
      </c>
      <c r="J140" s="25"/>
      <c r="K140" s="11"/>
      <c r="L140" s="25"/>
      <c r="M140" s="11"/>
      <c r="N140" s="25"/>
      <c r="O140" s="12"/>
      <c r="P140" s="11"/>
      <c r="Q140" s="11"/>
      <c r="R140" s="11"/>
    </row>
    <row r="141" customFormat="false" ht="23.85" hidden="false" customHeight="false" outlineLevel="0" collapsed="false">
      <c r="A141" s="10" t="s">
        <v>436</v>
      </c>
      <c r="B141" s="10" t="s">
        <v>437</v>
      </c>
      <c r="C141" s="10" t="s">
        <v>438</v>
      </c>
      <c r="D141" s="10" t="s">
        <v>439</v>
      </c>
      <c r="E141" s="10" t="s">
        <v>440</v>
      </c>
      <c r="F141" s="10" t="s">
        <v>441</v>
      </c>
      <c r="G141" s="10" t="s">
        <v>93</v>
      </c>
      <c r="H141" s="10" t="s">
        <v>94</v>
      </c>
      <c r="I141" s="11" t="s">
        <v>339</v>
      </c>
      <c r="J141" s="11"/>
      <c r="K141" s="11"/>
      <c r="L141" s="11"/>
      <c r="M141" s="11"/>
      <c r="N141" s="11"/>
      <c r="O141" s="12"/>
      <c r="P141" s="11"/>
      <c r="Q141" s="11"/>
      <c r="R141" s="11"/>
    </row>
    <row r="142" customFormat="false" ht="15" hidden="false" customHeight="false" outlineLevel="0" collapsed="false">
      <c r="A142" s="10" t="s">
        <v>442</v>
      </c>
      <c r="B142" s="10" t="s">
        <v>437</v>
      </c>
      <c r="C142" s="10" t="s">
        <v>443</v>
      </c>
      <c r="D142" s="10" t="s">
        <v>329</v>
      </c>
      <c r="E142" s="10" t="s">
        <v>444</v>
      </c>
      <c r="F142" s="10" t="s">
        <v>331</v>
      </c>
      <c r="G142" s="10" t="s">
        <v>93</v>
      </c>
      <c r="H142" s="10" t="s">
        <v>94</v>
      </c>
      <c r="I142" s="11" t="s">
        <v>339</v>
      </c>
      <c r="J142" s="25"/>
      <c r="K142" s="11"/>
      <c r="L142" s="25"/>
      <c r="M142" s="11"/>
      <c r="N142" s="25"/>
      <c r="O142" s="12"/>
      <c r="P142" s="11"/>
      <c r="Q142" s="11"/>
      <c r="R142" s="11"/>
    </row>
    <row r="143" customFormat="false" ht="23.85" hidden="false" customHeight="false" outlineLevel="0" collapsed="false">
      <c r="A143" s="10" t="s">
        <v>326</v>
      </c>
      <c r="B143" s="10" t="s">
        <v>327</v>
      </c>
      <c r="C143" s="10" t="s">
        <v>338</v>
      </c>
      <c r="D143" s="10" t="s">
        <v>329</v>
      </c>
      <c r="E143" s="10" t="s">
        <v>330</v>
      </c>
      <c r="F143" s="10" t="s">
        <v>331</v>
      </c>
      <c r="G143" s="10" t="s">
        <v>96</v>
      </c>
      <c r="H143" s="10" t="s">
        <v>97</v>
      </c>
      <c r="I143" s="11" t="s">
        <v>339</v>
      </c>
      <c r="J143" s="25"/>
      <c r="K143" s="11"/>
      <c r="L143" s="25"/>
      <c r="M143" s="11"/>
      <c r="N143" s="25"/>
      <c r="O143" s="12"/>
      <c r="P143" s="11"/>
      <c r="Q143" s="11"/>
      <c r="R143" s="11"/>
    </row>
    <row r="144" customFormat="false" ht="23.85" hidden="false" customHeight="false" outlineLevel="0" collapsed="false">
      <c r="A144" s="10" t="s">
        <v>340</v>
      </c>
      <c r="B144" s="10" t="s">
        <v>327</v>
      </c>
      <c r="C144" s="10" t="s">
        <v>341</v>
      </c>
      <c r="D144" s="10" t="s">
        <v>329</v>
      </c>
      <c r="E144" s="10" t="s">
        <v>330</v>
      </c>
      <c r="F144" s="10" t="s">
        <v>331</v>
      </c>
      <c r="G144" s="10" t="s">
        <v>96</v>
      </c>
      <c r="H144" s="10" t="s">
        <v>97</v>
      </c>
      <c r="I144" s="11" t="s">
        <v>339</v>
      </c>
      <c r="J144" s="25"/>
      <c r="K144" s="11"/>
      <c r="L144" s="25"/>
      <c r="M144" s="11"/>
      <c r="N144" s="25"/>
      <c r="O144" s="12"/>
      <c r="P144" s="11"/>
      <c r="Q144" s="11"/>
      <c r="R144" s="11"/>
    </row>
    <row r="145" customFormat="false" ht="15" hidden="false" customHeight="false" outlineLevel="0" collapsed="false">
      <c r="A145" s="10" t="s">
        <v>342</v>
      </c>
      <c r="B145" s="10" t="s">
        <v>327</v>
      </c>
      <c r="C145" s="10" t="s">
        <v>343</v>
      </c>
      <c r="D145" s="10" t="s">
        <v>329</v>
      </c>
      <c r="E145" s="10" t="s">
        <v>344</v>
      </c>
      <c r="F145" s="10" t="s">
        <v>331</v>
      </c>
      <c r="G145" s="10" t="s">
        <v>96</v>
      </c>
      <c r="H145" s="10" t="s">
        <v>97</v>
      </c>
      <c r="I145" s="11" t="s">
        <v>339</v>
      </c>
      <c r="J145" s="25"/>
      <c r="K145" s="11"/>
      <c r="L145" s="25"/>
      <c r="M145" s="11"/>
      <c r="N145" s="25"/>
      <c r="O145" s="12"/>
      <c r="P145" s="11"/>
      <c r="Q145" s="11"/>
      <c r="R145" s="11"/>
    </row>
    <row r="146" customFormat="false" ht="15" hidden="false" customHeight="false" outlineLevel="0" collapsed="false">
      <c r="A146" s="10" t="s">
        <v>345</v>
      </c>
      <c r="B146" s="10" t="s">
        <v>327</v>
      </c>
      <c r="C146" s="10" t="s">
        <v>346</v>
      </c>
      <c r="D146" s="10" t="s">
        <v>329</v>
      </c>
      <c r="E146" s="10" t="s">
        <v>344</v>
      </c>
      <c r="F146" s="10" t="s">
        <v>331</v>
      </c>
      <c r="G146" s="10" t="s">
        <v>96</v>
      </c>
      <c r="H146" s="10" t="s">
        <v>97</v>
      </c>
      <c r="I146" s="11" t="s">
        <v>339</v>
      </c>
      <c r="J146" s="25"/>
      <c r="K146" s="11"/>
      <c r="L146" s="25"/>
      <c r="M146" s="11"/>
      <c r="N146" s="25"/>
      <c r="O146" s="12"/>
      <c r="P146" s="11"/>
      <c r="Q146" s="11"/>
      <c r="R146" s="11"/>
    </row>
    <row r="147" customFormat="false" ht="23.85" hidden="false" customHeight="false" outlineLevel="0" collapsed="false">
      <c r="A147" s="10" t="s">
        <v>347</v>
      </c>
      <c r="B147" s="10" t="s">
        <v>327</v>
      </c>
      <c r="C147" s="10" t="s">
        <v>348</v>
      </c>
      <c r="D147" s="10" t="s">
        <v>329</v>
      </c>
      <c r="E147" s="10" t="s">
        <v>330</v>
      </c>
      <c r="F147" s="10" t="s">
        <v>331</v>
      </c>
      <c r="G147" s="10" t="s">
        <v>96</v>
      </c>
      <c r="H147" s="10" t="s">
        <v>97</v>
      </c>
      <c r="I147" s="11" t="s">
        <v>339</v>
      </c>
      <c r="J147" s="25"/>
      <c r="K147" s="11"/>
      <c r="L147" s="25"/>
      <c r="M147" s="11"/>
      <c r="N147" s="25"/>
      <c r="O147" s="12"/>
      <c r="P147" s="11"/>
      <c r="Q147" s="11"/>
      <c r="R147" s="11"/>
    </row>
    <row r="148" customFormat="false" ht="23.85" hidden="false" customHeight="false" outlineLevel="0" collapsed="false">
      <c r="A148" s="10" t="s">
        <v>349</v>
      </c>
      <c r="B148" s="10" t="s">
        <v>327</v>
      </c>
      <c r="C148" s="10" t="s">
        <v>350</v>
      </c>
      <c r="D148" s="10" t="s">
        <v>329</v>
      </c>
      <c r="E148" s="10" t="s">
        <v>351</v>
      </c>
      <c r="F148" s="10" t="s">
        <v>331</v>
      </c>
      <c r="G148" s="10" t="s">
        <v>96</v>
      </c>
      <c r="H148" s="10" t="s">
        <v>97</v>
      </c>
      <c r="I148" s="11" t="s">
        <v>339</v>
      </c>
      <c r="J148" s="25"/>
      <c r="K148" s="11"/>
      <c r="L148" s="25"/>
      <c r="M148" s="11"/>
      <c r="N148" s="25"/>
      <c r="O148" s="12"/>
      <c r="P148" s="11"/>
      <c r="Q148" s="11"/>
      <c r="R148" s="11"/>
    </row>
    <row r="149" customFormat="false" ht="23.85" hidden="false" customHeight="false" outlineLevel="0" collapsed="false">
      <c r="A149" s="10" t="s">
        <v>352</v>
      </c>
      <c r="B149" s="10" t="s">
        <v>327</v>
      </c>
      <c r="C149" s="10" t="s">
        <v>353</v>
      </c>
      <c r="D149" s="10" t="s">
        <v>354</v>
      </c>
      <c r="E149" s="10" t="s">
        <v>355</v>
      </c>
      <c r="F149" s="10" t="s">
        <v>356</v>
      </c>
      <c r="G149" s="10" t="s">
        <v>96</v>
      </c>
      <c r="H149" s="10" t="s">
        <v>97</v>
      </c>
      <c r="I149" s="11" t="s">
        <v>339</v>
      </c>
      <c r="J149" s="11"/>
      <c r="K149" s="11"/>
      <c r="L149" s="11"/>
      <c r="M149" s="11"/>
      <c r="N149" s="11"/>
      <c r="O149" s="12"/>
      <c r="P149" s="11"/>
      <c r="Q149" s="11"/>
      <c r="R149" s="11"/>
    </row>
    <row r="150" customFormat="false" ht="23.85" hidden="false" customHeight="false" outlineLevel="0" collapsed="false">
      <c r="A150" s="10" t="s">
        <v>357</v>
      </c>
      <c r="B150" s="10" t="s">
        <v>358</v>
      </c>
      <c r="C150" s="10" t="s">
        <v>359</v>
      </c>
      <c r="D150" s="10" t="s">
        <v>360</v>
      </c>
      <c r="E150" s="10" t="s">
        <v>361</v>
      </c>
      <c r="F150" s="10" t="s">
        <v>356</v>
      </c>
      <c r="G150" s="10" t="s">
        <v>96</v>
      </c>
      <c r="H150" s="10" t="s">
        <v>97</v>
      </c>
      <c r="I150" s="11" t="s">
        <v>339</v>
      </c>
      <c r="J150" s="26"/>
      <c r="K150" s="11"/>
      <c r="L150" s="26"/>
      <c r="M150" s="11"/>
      <c r="N150" s="26"/>
      <c r="O150" s="12"/>
      <c r="P150" s="11"/>
      <c r="Q150" s="11"/>
      <c r="R150" s="11"/>
    </row>
    <row r="151" customFormat="false" ht="23.85" hidden="false" customHeight="false" outlineLevel="0" collapsed="false">
      <c r="A151" s="10" t="s">
        <v>362</v>
      </c>
      <c r="B151" s="10" t="s">
        <v>358</v>
      </c>
      <c r="C151" s="10" t="s">
        <v>363</v>
      </c>
      <c r="D151" s="10" t="s">
        <v>360</v>
      </c>
      <c r="E151" s="10" t="s">
        <v>361</v>
      </c>
      <c r="F151" s="10" t="s">
        <v>356</v>
      </c>
      <c r="G151" s="10" t="s">
        <v>96</v>
      </c>
      <c r="H151" s="10" t="s">
        <v>97</v>
      </c>
      <c r="I151" s="11" t="s">
        <v>339</v>
      </c>
      <c r="J151" s="26"/>
      <c r="K151" s="11"/>
      <c r="L151" s="26"/>
      <c r="M151" s="11"/>
      <c r="N151" s="26"/>
      <c r="O151" s="12"/>
      <c r="P151" s="11"/>
      <c r="Q151" s="11"/>
      <c r="R151" s="11"/>
    </row>
    <row r="152" customFormat="false" ht="15" hidden="false" customHeight="false" outlineLevel="0" collapsed="false">
      <c r="A152" s="10" t="s">
        <v>364</v>
      </c>
      <c r="B152" s="10" t="s">
        <v>358</v>
      </c>
      <c r="C152" s="10" t="s">
        <v>365</v>
      </c>
      <c r="D152" s="10" t="s">
        <v>360</v>
      </c>
      <c r="E152" s="10" t="s">
        <v>361</v>
      </c>
      <c r="F152" s="10" t="s">
        <v>356</v>
      </c>
      <c r="G152" s="10" t="s">
        <v>96</v>
      </c>
      <c r="H152" s="10" t="s">
        <v>97</v>
      </c>
      <c r="I152" s="11" t="s">
        <v>339</v>
      </c>
      <c r="J152" s="26"/>
      <c r="K152" s="11"/>
      <c r="L152" s="26"/>
      <c r="M152" s="11"/>
      <c r="N152" s="26"/>
      <c r="O152" s="12"/>
      <c r="P152" s="11"/>
      <c r="Q152" s="11"/>
      <c r="R152" s="11"/>
    </row>
    <row r="153" customFormat="false" ht="15" hidden="false" customHeight="false" outlineLevel="0" collapsed="false">
      <c r="A153" s="10" t="s">
        <v>366</v>
      </c>
      <c r="B153" s="10" t="s">
        <v>358</v>
      </c>
      <c r="C153" s="10" t="s">
        <v>367</v>
      </c>
      <c r="D153" s="10" t="s">
        <v>360</v>
      </c>
      <c r="E153" s="10" t="s">
        <v>361</v>
      </c>
      <c r="F153" s="10" t="s">
        <v>356</v>
      </c>
      <c r="G153" s="10" t="s">
        <v>96</v>
      </c>
      <c r="H153" s="10" t="s">
        <v>97</v>
      </c>
      <c r="I153" s="11" t="s">
        <v>339</v>
      </c>
      <c r="J153" s="26"/>
      <c r="K153" s="11"/>
      <c r="L153" s="26"/>
      <c r="M153" s="11"/>
      <c r="N153" s="26"/>
      <c r="O153" s="12"/>
      <c r="P153" s="11"/>
      <c r="Q153" s="11"/>
      <c r="R153" s="11"/>
    </row>
    <row r="154" customFormat="false" ht="23.85" hidden="false" customHeight="false" outlineLevel="0" collapsed="false">
      <c r="A154" s="10" t="s">
        <v>368</v>
      </c>
      <c r="B154" s="10" t="s">
        <v>358</v>
      </c>
      <c r="C154" s="10" t="s">
        <v>369</v>
      </c>
      <c r="D154" s="10" t="s">
        <v>360</v>
      </c>
      <c r="E154" s="10" t="s">
        <v>370</v>
      </c>
      <c r="F154" s="10" t="s">
        <v>356</v>
      </c>
      <c r="G154" s="10" t="s">
        <v>96</v>
      </c>
      <c r="H154" s="10" t="s">
        <v>97</v>
      </c>
      <c r="I154" s="11" t="s">
        <v>339</v>
      </c>
      <c r="J154" s="26"/>
      <c r="K154" s="11"/>
      <c r="L154" s="26"/>
      <c r="M154" s="11"/>
      <c r="N154" s="26"/>
      <c r="O154" s="12"/>
      <c r="P154" s="11"/>
      <c r="Q154" s="11"/>
      <c r="R154" s="11"/>
    </row>
    <row r="155" customFormat="false" ht="23.85" hidden="false" customHeight="false" outlineLevel="0" collapsed="false">
      <c r="A155" s="10" t="s">
        <v>371</v>
      </c>
      <c r="B155" s="10" t="s">
        <v>358</v>
      </c>
      <c r="C155" s="10" t="s">
        <v>372</v>
      </c>
      <c r="D155" s="10" t="s">
        <v>329</v>
      </c>
      <c r="E155" s="10" t="s">
        <v>373</v>
      </c>
      <c r="F155" s="10" t="s">
        <v>356</v>
      </c>
      <c r="G155" s="10" t="s">
        <v>96</v>
      </c>
      <c r="H155" s="10" t="s">
        <v>97</v>
      </c>
      <c r="I155" s="11" t="s">
        <v>339</v>
      </c>
      <c r="J155" s="25"/>
      <c r="K155" s="11"/>
      <c r="L155" s="25"/>
      <c r="M155" s="11"/>
      <c r="N155" s="25"/>
      <c r="O155" s="12"/>
      <c r="P155" s="11"/>
      <c r="Q155" s="11"/>
      <c r="R155" s="11"/>
    </row>
    <row r="156" customFormat="false" ht="35.05" hidden="false" customHeight="false" outlineLevel="0" collapsed="false">
      <c r="A156" s="10" t="s">
        <v>374</v>
      </c>
      <c r="B156" s="10" t="s">
        <v>375</v>
      </c>
      <c r="C156" s="10" t="s">
        <v>376</v>
      </c>
      <c r="D156" s="10" t="s">
        <v>377</v>
      </c>
      <c r="E156" s="10" t="s">
        <v>378</v>
      </c>
      <c r="F156" s="10" t="s">
        <v>356</v>
      </c>
      <c r="G156" s="10" t="s">
        <v>96</v>
      </c>
      <c r="H156" s="10" t="s">
        <v>97</v>
      </c>
      <c r="I156" s="11" t="s">
        <v>339</v>
      </c>
      <c r="J156" s="11"/>
      <c r="K156" s="11"/>
      <c r="L156" s="11"/>
      <c r="M156" s="11"/>
      <c r="N156" s="11"/>
      <c r="O156" s="12"/>
      <c r="P156" s="11"/>
      <c r="Q156" s="11"/>
      <c r="R156" s="11"/>
    </row>
    <row r="157" customFormat="false" ht="23.85" hidden="false" customHeight="false" outlineLevel="0" collapsed="false">
      <c r="A157" s="10" t="s">
        <v>379</v>
      </c>
      <c r="B157" s="10" t="s">
        <v>375</v>
      </c>
      <c r="C157" s="10" t="s">
        <v>380</v>
      </c>
      <c r="D157" s="10" t="s">
        <v>377</v>
      </c>
      <c r="E157" s="10" t="s">
        <v>378</v>
      </c>
      <c r="F157" s="10" t="s">
        <v>356</v>
      </c>
      <c r="G157" s="10" t="s">
        <v>96</v>
      </c>
      <c r="H157" s="10" t="s">
        <v>97</v>
      </c>
      <c r="I157" s="11" t="s">
        <v>339</v>
      </c>
      <c r="J157" s="11"/>
      <c r="K157" s="11"/>
      <c r="L157" s="11"/>
      <c r="M157" s="11"/>
      <c r="N157" s="11"/>
      <c r="O157" s="12"/>
      <c r="P157" s="11"/>
      <c r="Q157" s="11"/>
      <c r="R157" s="11"/>
    </row>
    <row r="158" customFormat="false" ht="23.85" hidden="false" customHeight="false" outlineLevel="0" collapsed="false">
      <c r="A158" s="10" t="s">
        <v>381</v>
      </c>
      <c r="B158" s="10" t="s">
        <v>375</v>
      </c>
      <c r="C158" s="10" t="s">
        <v>382</v>
      </c>
      <c r="D158" s="10" t="s">
        <v>329</v>
      </c>
      <c r="E158" s="10" t="s">
        <v>378</v>
      </c>
      <c r="F158" s="10" t="s">
        <v>356</v>
      </c>
      <c r="G158" s="10" t="s">
        <v>96</v>
      </c>
      <c r="H158" s="10" t="s">
        <v>97</v>
      </c>
      <c r="I158" s="11" t="s">
        <v>339</v>
      </c>
      <c r="J158" s="25"/>
      <c r="K158" s="11"/>
      <c r="L158" s="25"/>
      <c r="M158" s="11"/>
      <c r="N158" s="25"/>
      <c r="O158" s="12"/>
      <c r="P158" s="11"/>
      <c r="Q158" s="11"/>
      <c r="R158" s="11"/>
    </row>
    <row r="159" customFormat="false" ht="23.85" hidden="false" customHeight="false" outlineLevel="0" collapsed="false">
      <c r="A159" s="10" t="s">
        <v>383</v>
      </c>
      <c r="B159" s="10" t="s">
        <v>384</v>
      </c>
      <c r="C159" s="10" t="s">
        <v>385</v>
      </c>
      <c r="D159" s="10" t="s">
        <v>386</v>
      </c>
      <c r="E159" s="10" t="s">
        <v>387</v>
      </c>
      <c r="F159" s="10" t="s">
        <v>388</v>
      </c>
      <c r="G159" s="10" t="s">
        <v>96</v>
      </c>
      <c r="H159" s="10" t="s">
        <v>97</v>
      </c>
      <c r="I159" s="11" t="s">
        <v>339</v>
      </c>
      <c r="J159" s="11"/>
      <c r="K159" s="11"/>
      <c r="L159" s="11"/>
      <c r="M159" s="11"/>
      <c r="N159" s="11"/>
      <c r="O159" s="12"/>
      <c r="P159" s="11"/>
      <c r="Q159" s="11"/>
      <c r="R159" s="11"/>
    </row>
    <row r="160" customFormat="false" ht="23.85" hidden="false" customHeight="false" outlineLevel="0" collapsed="false">
      <c r="A160" s="10" t="s">
        <v>389</v>
      </c>
      <c r="B160" s="10" t="s">
        <v>384</v>
      </c>
      <c r="C160" s="10" t="s">
        <v>390</v>
      </c>
      <c r="D160" s="10" t="s">
        <v>386</v>
      </c>
      <c r="E160" s="10" t="s">
        <v>391</v>
      </c>
      <c r="F160" s="10" t="s">
        <v>388</v>
      </c>
      <c r="G160" s="10" t="s">
        <v>96</v>
      </c>
      <c r="H160" s="10" t="s">
        <v>97</v>
      </c>
      <c r="I160" s="11" t="s">
        <v>339</v>
      </c>
      <c r="J160" s="11"/>
      <c r="K160" s="11"/>
      <c r="L160" s="11"/>
      <c r="M160" s="11"/>
      <c r="N160" s="11"/>
      <c r="O160" s="12"/>
      <c r="P160" s="11"/>
      <c r="Q160" s="11"/>
      <c r="R160" s="11"/>
    </row>
    <row r="161" customFormat="false" ht="23.85" hidden="false" customHeight="false" outlineLevel="0" collapsed="false">
      <c r="A161" s="10" t="s">
        <v>392</v>
      </c>
      <c r="B161" s="10" t="s">
        <v>384</v>
      </c>
      <c r="C161" s="10" t="s">
        <v>393</v>
      </c>
      <c r="D161" s="10" t="s">
        <v>394</v>
      </c>
      <c r="E161" s="10" t="s">
        <v>395</v>
      </c>
      <c r="F161" s="10" t="s">
        <v>331</v>
      </c>
      <c r="G161" s="10" t="s">
        <v>96</v>
      </c>
      <c r="H161" s="10" t="s">
        <v>97</v>
      </c>
      <c r="I161" s="11" t="s">
        <v>339</v>
      </c>
      <c r="J161" s="11"/>
      <c r="K161" s="11"/>
      <c r="L161" s="11"/>
      <c r="M161" s="11"/>
      <c r="N161" s="11"/>
      <c r="O161" s="12"/>
      <c r="P161" s="11"/>
      <c r="Q161" s="11"/>
      <c r="R161" s="11"/>
    </row>
    <row r="162" customFormat="false" ht="23.85" hidden="false" customHeight="false" outlineLevel="0" collapsed="false">
      <c r="A162" s="10" t="s">
        <v>396</v>
      </c>
      <c r="B162" s="10" t="s">
        <v>384</v>
      </c>
      <c r="C162" s="10" t="s">
        <v>397</v>
      </c>
      <c r="D162" s="10" t="s">
        <v>386</v>
      </c>
      <c r="E162" s="10" t="s">
        <v>398</v>
      </c>
      <c r="F162" s="10" t="s">
        <v>388</v>
      </c>
      <c r="G162" s="10" t="s">
        <v>96</v>
      </c>
      <c r="H162" s="10" t="s">
        <v>97</v>
      </c>
      <c r="I162" s="11" t="s">
        <v>339</v>
      </c>
      <c r="J162" s="11"/>
      <c r="K162" s="11"/>
      <c r="L162" s="11"/>
      <c r="M162" s="11"/>
      <c r="N162" s="11"/>
      <c r="O162" s="12"/>
      <c r="P162" s="11"/>
      <c r="Q162" s="11"/>
      <c r="R162" s="11"/>
    </row>
    <row r="163" customFormat="false" ht="23.85" hidden="false" customHeight="false" outlineLevel="0" collapsed="false">
      <c r="A163" s="10" t="s">
        <v>399</v>
      </c>
      <c r="B163" s="10" t="s">
        <v>384</v>
      </c>
      <c r="C163" s="10" t="s">
        <v>400</v>
      </c>
      <c r="D163" s="10" t="s">
        <v>386</v>
      </c>
      <c r="E163" s="10" t="s">
        <v>330</v>
      </c>
      <c r="F163" s="10" t="s">
        <v>388</v>
      </c>
      <c r="G163" s="10" t="s">
        <v>96</v>
      </c>
      <c r="H163" s="10" t="s">
        <v>97</v>
      </c>
      <c r="I163" s="11" t="s">
        <v>339</v>
      </c>
      <c r="J163" s="11"/>
      <c r="K163" s="11"/>
      <c r="L163" s="11"/>
      <c r="M163" s="11"/>
      <c r="N163" s="11"/>
      <c r="O163" s="12"/>
      <c r="P163" s="11"/>
      <c r="Q163" s="11"/>
      <c r="R163" s="11"/>
    </row>
    <row r="164" customFormat="false" ht="23.85" hidden="false" customHeight="false" outlineLevel="0" collapsed="false">
      <c r="A164" s="10" t="s">
        <v>401</v>
      </c>
      <c r="B164" s="10" t="s">
        <v>384</v>
      </c>
      <c r="C164" s="10" t="s">
        <v>402</v>
      </c>
      <c r="D164" s="10" t="s">
        <v>386</v>
      </c>
      <c r="E164" s="10" t="s">
        <v>403</v>
      </c>
      <c r="F164" s="10" t="s">
        <v>388</v>
      </c>
      <c r="G164" s="10" t="s">
        <v>96</v>
      </c>
      <c r="H164" s="10" t="s">
        <v>97</v>
      </c>
      <c r="I164" s="11" t="s">
        <v>339</v>
      </c>
      <c r="J164" s="11"/>
      <c r="K164" s="11"/>
      <c r="L164" s="11"/>
      <c r="M164" s="11"/>
      <c r="N164" s="11"/>
      <c r="O164" s="12"/>
      <c r="P164" s="11"/>
      <c r="Q164" s="11"/>
      <c r="R164" s="11"/>
    </row>
    <row r="165" customFormat="false" ht="15" hidden="false" customHeight="false" outlineLevel="0" collapsed="false">
      <c r="A165" s="10" t="s">
        <v>404</v>
      </c>
      <c r="B165" s="10" t="s">
        <v>384</v>
      </c>
      <c r="C165" s="10" t="s">
        <v>405</v>
      </c>
      <c r="D165" s="10" t="s">
        <v>386</v>
      </c>
      <c r="E165" s="10" t="s">
        <v>406</v>
      </c>
      <c r="F165" s="10" t="s">
        <v>388</v>
      </c>
      <c r="G165" s="10" t="s">
        <v>96</v>
      </c>
      <c r="H165" s="10" t="s">
        <v>97</v>
      </c>
      <c r="I165" s="11" t="s">
        <v>339</v>
      </c>
      <c r="J165" s="11"/>
      <c r="K165" s="11"/>
      <c r="L165" s="11"/>
      <c r="M165" s="11"/>
      <c r="N165" s="11"/>
      <c r="O165" s="12"/>
      <c r="P165" s="11"/>
      <c r="Q165" s="11"/>
      <c r="R165" s="11"/>
    </row>
    <row r="166" customFormat="false" ht="23.85" hidden="false" customHeight="false" outlineLevel="0" collapsed="false">
      <c r="A166" s="10" t="s">
        <v>407</v>
      </c>
      <c r="B166" s="10" t="s">
        <v>384</v>
      </c>
      <c r="C166" s="10" t="s">
        <v>408</v>
      </c>
      <c r="D166" s="10" t="s">
        <v>409</v>
      </c>
      <c r="E166" s="10" t="s">
        <v>410</v>
      </c>
      <c r="F166" s="10" t="s">
        <v>388</v>
      </c>
      <c r="G166" s="10" t="s">
        <v>96</v>
      </c>
      <c r="H166" s="10" t="s">
        <v>97</v>
      </c>
      <c r="I166" s="11" t="s">
        <v>339</v>
      </c>
      <c r="J166" s="11"/>
      <c r="K166" s="11"/>
      <c r="L166" s="11"/>
      <c r="M166" s="11"/>
      <c r="N166" s="11"/>
      <c r="O166" s="12"/>
      <c r="P166" s="11"/>
      <c r="Q166" s="11"/>
      <c r="R166" s="11"/>
    </row>
    <row r="167" customFormat="false" ht="23.85" hidden="false" customHeight="false" outlineLevel="0" collapsed="false">
      <c r="A167" s="10" t="s">
        <v>411</v>
      </c>
      <c r="B167" s="10" t="s">
        <v>384</v>
      </c>
      <c r="C167" s="10" t="s">
        <v>412</v>
      </c>
      <c r="D167" s="10" t="s">
        <v>413</v>
      </c>
      <c r="E167" s="10" t="s">
        <v>414</v>
      </c>
      <c r="F167" s="10" t="s">
        <v>331</v>
      </c>
      <c r="G167" s="10" t="s">
        <v>96</v>
      </c>
      <c r="H167" s="10" t="s">
        <v>97</v>
      </c>
      <c r="I167" s="11" t="s">
        <v>339</v>
      </c>
      <c r="J167" s="11"/>
      <c r="K167" s="11"/>
      <c r="L167" s="11"/>
      <c r="M167" s="11"/>
      <c r="N167" s="11"/>
      <c r="O167" s="12"/>
      <c r="P167" s="11"/>
      <c r="Q167" s="11"/>
      <c r="R167" s="11"/>
    </row>
    <row r="168" customFormat="false" ht="23.85" hidden="false" customHeight="false" outlineLevel="0" collapsed="false">
      <c r="A168" s="10" t="s">
        <v>415</v>
      </c>
      <c r="B168" s="10" t="s">
        <v>384</v>
      </c>
      <c r="C168" s="10" t="s">
        <v>416</v>
      </c>
      <c r="D168" s="10" t="s">
        <v>386</v>
      </c>
      <c r="E168" s="10" t="s">
        <v>417</v>
      </c>
      <c r="F168" s="10" t="s">
        <v>388</v>
      </c>
      <c r="G168" s="10" t="s">
        <v>96</v>
      </c>
      <c r="H168" s="10" t="s">
        <v>97</v>
      </c>
      <c r="I168" s="11" t="s">
        <v>339</v>
      </c>
      <c r="J168" s="11"/>
      <c r="K168" s="11"/>
      <c r="L168" s="11"/>
      <c r="M168" s="11"/>
      <c r="N168" s="11"/>
      <c r="O168" s="12"/>
      <c r="P168" s="11"/>
      <c r="Q168" s="11"/>
      <c r="R168" s="11"/>
    </row>
    <row r="169" customFormat="false" ht="23.85" hidden="false" customHeight="false" outlineLevel="0" collapsed="false">
      <c r="A169" s="10" t="s">
        <v>418</v>
      </c>
      <c r="B169" s="10" t="s">
        <v>384</v>
      </c>
      <c r="C169" s="10" t="s">
        <v>419</v>
      </c>
      <c r="D169" s="10" t="s">
        <v>386</v>
      </c>
      <c r="E169" s="10" t="s">
        <v>420</v>
      </c>
      <c r="F169" s="10" t="s">
        <v>388</v>
      </c>
      <c r="G169" s="10" t="s">
        <v>96</v>
      </c>
      <c r="H169" s="10" t="s">
        <v>97</v>
      </c>
      <c r="I169" s="11" t="s">
        <v>339</v>
      </c>
      <c r="J169" s="11"/>
      <c r="K169" s="11"/>
      <c r="L169" s="11"/>
      <c r="M169" s="11"/>
      <c r="N169" s="11"/>
      <c r="O169" s="12"/>
      <c r="P169" s="11"/>
      <c r="Q169" s="11"/>
      <c r="R169" s="11"/>
    </row>
    <row r="170" customFormat="false" ht="23.85" hidden="false" customHeight="false" outlineLevel="0" collapsed="false">
      <c r="A170" s="10" t="s">
        <v>421</v>
      </c>
      <c r="B170" s="10" t="s">
        <v>422</v>
      </c>
      <c r="C170" s="10" t="s">
        <v>423</v>
      </c>
      <c r="D170" s="10" t="s">
        <v>329</v>
      </c>
      <c r="E170" s="10" t="s">
        <v>424</v>
      </c>
      <c r="F170" s="10" t="s">
        <v>331</v>
      </c>
      <c r="G170" s="10" t="s">
        <v>96</v>
      </c>
      <c r="H170" s="10" t="s">
        <v>97</v>
      </c>
      <c r="I170" s="11" t="s">
        <v>339</v>
      </c>
      <c r="J170" s="25"/>
      <c r="K170" s="11"/>
      <c r="L170" s="25"/>
      <c r="M170" s="11"/>
      <c r="N170" s="25"/>
      <c r="O170" s="12"/>
      <c r="P170" s="11"/>
      <c r="Q170" s="11"/>
      <c r="R170" s="11"/>
    </row>
    <row r="171" customFormat="false" ht="23.85" hidden="false" customHeight="false" outlineLevel="0" collapsed="false">
      <c r="A171" s="10" t="s">
        <v>425</v>
      </c>
      <c r="B171" s="10" t="s">
        <v>422</v>
      </c>
      <c r="C171" s="10" t="s">
        <v>426</v>
      </c>
      <c r="D171" s="10" t="s">
        <v>329</v>
      </c>
      <c r="E171" s="10" t="s">
        <v>427</v>
      </c>
      <c r="F171" s="10" t="s">
        <v>331</v>
      </c>
      <c r="G171" s="10" t="s">
        <v>96</v>
      </c>
      <c r="H171" s="10" t="s">
        <v>97</v>
      </c>
      <c r="I171" s="11" t="s">
        <v>339</v>
      </c>
      <c r="J171" s="25"/>
      <c r="K171" s="11"/>
      <c r="L171" s="25"/>
      <c r="M171" s="11"/>
      <c r="N171" s="25"/>
      <c r="O171" s="12"/>
      <c r="P171" s="11"/>
      <c r="Q171" s="11"/>
      <c r="R171" s="11"/>
    </row>
    <row r="172" customFormat="false" ht="23.85" hidden="false" customHeight="false" outlineLevel="0" collapsed="false">
      <c r="A172" s="10" t="s">
        <v>428</v>
      </c>
      <c r="B172" s="10" t="s">
        <v>422</v>
      </c>
      <c r="C172" s="10" t="s">
        <v>429</v>
      </c>
      <c r="D172" s="10" t="s">
        <v>329</v>
      </c>
      <c r="E172" s="10" t="s">
        <v>430</v>
      </c>
      <c r="F172" s="10" t="s">
        <v>331</v>
      </c>
      <c r="G172" s="10" t="s">
        <v>96</v>
      </c>
      <c r="H172" s="10" t="s">
        <v>97</v>
      </c>
      <c r="I172" s="11" t="s">
        <v>339</v>
      </c>
      <c r="J172" s="25"/>
      <c r="K172" s="11"/>
      <c r="L172" s="25"/>
      <c r="M172" s="11"/>
      <c r="N172" s="25"/>
      <c r="O172" s="12"/>
      <c r="P172" s="11"/>
      <c r="Q172" s="11"/>
      <c r="R172" s="11"/>
    </row>
    <row r="173" customFormat="false" ht="23.85" hidden="false" customHeight="false" outlineLevel="0" collapsed="false">
      <c r="A173" s="10" t="s">
        <v>431</v>
      </c>
      <c r="B173" s="10" t="s">
        <v>422</v>
      </c>
      <c r="C173" s="10" t="s">
        <v>432</v>
      </c>
      <c r="D173" s="10" t="s">
        <v>329</v>
      </c>
      <c r="E173" s="10" t="s">
        <v>433</v>
      </c>
      <c r="F173" s="10" t="s">
        <v>331</v>
      </c>
      <c r="G173" s="10" t="s">
        <v>96</v>
      </c>
      <c r="H173" s="10" t="s">
        <v>97</v>
      </c>
      <c r="I173" s="11" t="s">
        <v>339</v>
      </c>
      <c r="J173" s="25"/>
      <c r="K173" s="11"/>
      <c r="L173" s="25"/>
      <c r="M173" s="11"/>
      <c r="N173" s="25"/>
      <c r="O173" s="12"/>
      <c r="P173" s="11"/>
      <c r="Q173" s="11"/>
      <c r="R173" s="11"/>
    </row>
    <row r="174" customFormat="false" ht="23.85" hidden="false" customHeight="false" outlineLevel="0" collapsed="false">
      <c r="A174" s="10" t="s">
        <v>434</v>
      </c>
      <c r="B174" s="10" t="s">
        <v>422</v>
      </c>
      <c r="C174" s="10" t="s">
        <v>435</v>
      </c>
      <c r="D174" s="10" t="s">
        <v>329</v>
      </c>
      <c r="E174" s="10" t="s">
        <v>433</v>
      </c>
      <c r="F174" s="10" t="s">
        <v>331</v>
      </c>
      <c r="G174" s="10" t="s">
        <v>96</v>
      </c>
      <c r="H174" s="10" t="s">
        <v>97</v>
      </c>
      <c r="I174" s="11" t="s">
        <v>339</v>
      </c>
      <c r="J174" s="25"/>
      <c r="K174" s="11"/>
      <c r="L174" s="25"/>
      <c r="M174" s="11"/>
      <c r="N174" s="25"/>
      <c r="O174" s="12"/>
      <c r="P174" s="11"/>
      <c r="Q174" s="11"/>
      <c r="R174" s="11"/>
    </row>
    <row r="175" customFormat="false" ht="23.85" hidden="false" customHeight="false" outlineLevel="0" collapsed="false">
      <c r="A175" s="10" t="s">
        <v>436</v>
      </c>
      <c r="B175" s="10" t="s">
        <v>437</v>
      </c>
      <c r="C175" s="10" t="s">
        <v>438</v>
      </c>
      <c r="D175" s="10" t="s">
        <v>439</v>
      </c>
      <c r="E175" s="10" t="s">
        <v>440</v>
      </c>
      <c r="F175" s="10" t="s">
        <v>441</v>
      </c>
      <c r="G175" s="10" t="s">
        <v>96</v>
      </c>
      <c r="H175" s="10" t="s">
        <v>97</v>
      </c>
      <c r="I175" s="11" t="s">
        <v>339</v>
      </c>
      <c r="J175" s="11"/>
      <c r="K175" s="11"/>
      <c r="L175" s="11"/>
      <c r="M175" s="11"/>
      <c r="N175" s="11"/>
      <c r="O175" s="12"/>
      <c r="P175" s="11"/>
      <c r="Q175" s="11"/>
      <c r="R175" s="11"/>
    </row>
    <row r="176" customFormat="false" ht="15" hidden="false" customHeight="false" outlineLevel="0" collapsed="false">
      <c r="A176" s="10" t="s">
        <v>442</v>
      </c>
      <c r="B176" s="10" t="s">
        <v>437</v>
      </c>
      <c r="C176" s="10" t="s">
        <v>443</v>
      </c>
      <c r="D176" s="10" t="s">
        <v>329</v>
      </c>
      <c r="E176" s="10" t="s">
        <v>444</v>
      </c>
      <c r="F176" s="10" t="s">
        <v>331</v>
      </c>
      <c r="G176" s="10" t="s">
        <v>96</v>
      </c>
      <c r="H176" s="10" t="s">
        <v>97</v>
      </c>
      <c r="I176" s="11" t="s">
        <v>339</v>
      </c>
      <c r="J176" s="25"/>
      <c r="K176" s="11"/>
      <c r="L176" s="25"/>
      <c r="M176" s="11"/>
      <c r="N176" s="25"/>
      <c r="O176" s="12"/>
      <c r="P176" s="11"/>
      <c r="Q176" s="11"/>
      <c r="R176" s="11"/>
    </row>
    <row r="177" customFormat="false" ht="23.85" hidden="false" customHeight="false" outlineLevel="0" collapsed="false">
      <c r="A177" s="10" t="s">
        <v>326</v>
      </c>
      <c r="B177" s="10" t="s">
        <v>327</v>
      </c>
      <c r="C177" s="10" t="s">
        <v>338</v>
      </c>
      <c r="D177" s="10" t="s">
        <v>329</v>
      </c>
      <c r="E177" s="10" t="s">
        <v>330</v>
      </c>
      <c r="F177" s="10" t="s">
        <v>331</v>
      </c>
      <c r="G177" s="10" t="s">
        <v>99</v>
      </c>
      <c r="H177" s="10" t="s">
        <v>100</v>
      </c>
      <c r="I177" s="11" t="s">
        <v>339</v>
      </c>
      <c r="J177" s="25"/>
      <c r="K177" s="11"/>
      <c r="L177" s="25"/>
      <c r="M177" s="11"/>
      <c r="N177" s="25"/>
      <c r="O177" s="12"/>
      <c r="P177" s="11"/>
      <c r="Q177" s="11"/>
      <c r="R177" s="11"/>
    </row>
    <row r="178" customFormat="false" ht="23.85" hidden="false" customHeight="false" outlineLevel="0" collapsed="false">
      <c r="A178" s="10" t="s">
        <v>340</v>
      </c>
      <c r="B178" s="10" t="s">
        <v>327</v>
      </c>
      <c r="C178" s="10" t="s">
        <v>341</v>
      </c>
      <c r="D178" s="10" t="s">
        <v>329</v>
      </c>
      <c r="E178" s="10" t="s">
        <v>330</v>
      </c>
      <c r="F178" s="10" t="s">
        <v>331</v>
      </c>
      <c r="G178" s="10" t="s">
        <v>99</v>
      </c>
      <c r="H178" s="10" t="s">
        <v>100</v>
      </c>
      <c r="I178" s="11" t="s">
        <v>339</v>
      </c>
      <c r="J178" s="25"/>
      <c r="K178" s="11"/>
      <c r="L178" s="25"/>
      <c r="M178" s="11"/>
      <c r="N178" s="25"/>
      <c r="O178" s="12"/>
      <c r="P178" s="11"/>
      <c r="Q178" s="11"/>
      <c r="R178" s="11"/>
    </row>
    <row r="179" customFormat="false" ht="15" hidden="false" customHeight="false" outlineLevel="0" collapsed="false">
      <c r="A179" s="10" t="s">
        <v>342</v>
      </c>
      <c r="B179" s="10" t="s">
        <v>327</v>
      </c>
      <c r="C179" s="10" t="s">
        <v>343</v>
      </c>
      <c r="D179" s="10" t="s">
        <v>329</v>
      </c>
      <c r="E179" s="10" t="s">
        <v>344</v>
      </c>
      <c r="F179" s="10" t="s">
        <v>331</v>
      </c>
      <c r="G179" s="10" t="s">
        <v>99</v>
      </c>
      <c r="H179" s="10" t="s">
        <v>100</v>
      </c>
      <c r="I179" s="11" t="s">
        <v>339</v>
      </c>
      <c r="J179" s="25"/>
      <c r="K179" s="11"/>
      <c r="L179" s="25"/>
      <c r="M179" s="11"/>
      <c r="N179" s="25"/>
      <c r="O179" s="12"/>
      <c r="P179" s="11"/>
      <c r="Q179" s="11"/>
      <c r="R179" s="11"/>
    </row>
    <row r="180" customFormat="false" ht="15" hidden="false" customHeight="false" outlineLevel="0" collapsed="false">
      <c r="A180" s="10" t="s">
        <v>345</v>
      </c>
      <c r="B180" s="10" t="s">
        <v>327</v>
      </c>
      <c r="C180" s="10" t="s">
        <v>346</v>
      </c>
      <c r="D180" s="10" t="s">
        <v>329</v>
      </c>
      <c r="E180" s="10" t="s">
        <v>344</v>
      </c>
      <c r="F180" s="10" t="s">
        <v>331</v>
      </c>
      <c r="G180" s="10" t="s">
        <v>99</v>
      </c>
      <c r="H180" s="10" t="s">
        <v>100</v>
      </c>
      <c r="I180" s="11" t="s">
        <v>339</v>
      </c>
      <c r="J180" s="25"/>
      <c r="K180" s="11"/>
      <c r="L180" s="25"/>
      <c r="M180" s="11"/>
      <c r="N180" s="25"/>
      <c r="O180" s="12"/>
      <c r="P180" s="11"/>
      <c r="Q180" s="11"/>
      <c r="R180" s="11"/>
    </row>
    <row r="181" customFormat="false" ht="23.85" hidden="false" customHeight="false" outlineLevel="0" collapsed="false">
      <c r="A181" s="10" t="s">
        <v>347</v>
      </c>
      <c r="B181" s="10" t="s">
        <v>327</v>
      </c>
      <c r="C181" s="10" t="s">
        <v>348</v>
      </c>
      <c r="D181" s="10" t="s">
        <v>329</v>
      </c>
      <c r="E181" s="10" t="s">
        <v>330</v>
      </c>
      <c r="F181" s="10" t="s">
        <v>331</v>
      </c>
      <c r="G181" s="10" t="s">
        <v>99</v>
      </c>
      <c r="H181" s="10" t="s">
        <v>100</v>
      </c>
      <c r="I181" s="11" t="s">
        <v>339</v>
      </c>
      <c r="J181" s="25"/>
      <c r="K181" s="11"/>
      <c r="L181" s="25"/>
      <c r="M181" s="11"/>
      <c r="N181" s="25"/>
      <c r="O181" s="12"/>
      <c r="P181" s="11"/>
      <c r="Q181" s="11"/>
      <c r="R181" s="11"/>
    </row>
    <row r="182" customFormat="false" ht="23.85" hidden="false" customHeight="false" outlineLevel="0" collapsed="false">
      <c r="A182" s="10" t="s">
        <v>349</v>
      </c>
      <c r="B182" s="10" t="s">
        <v>327</v>
      </c>
      <c r="C182" s="10" t="s">
        <v>350</v>
      </c>
      <c r="D182" s="10" t="s">
        <v>329</v>
      </c>
      <c r="E182" s="10" t="s">
        <v>351</v>
      </c>
      <c r="F182" s="10" t="s">
        <v>331</v>
      </c>
      <c r="G182" s="10" t="s">
        <v>99</v>
      </c>
      <c r="H182" s="10" t="s">
        <v>100</v>
      </c>
      <c r="I182" s="11" t="s">
        <v>339</v>
      </c>
      <c r="J182" s="25"/>
      <c r="K182" s="11"/>
      <c r="L182" s="25"/>
      <c r="M182" s="11"/>
      <c r="N182" s="25"/>
      <c r="O182" s="12"/>
      <c r="P182" s="11"/>
      <c r="Q182" s="11"/>
      <c r="R182" s="11"/>
    </row>
    <row r="183" customFormat="false" ht="23.85" hidden="false" customHeight="false" outlineLevel="0" collapsed="false">
      <c r="A183" s="10" t="s">
        <v>352</v>
      </c>
      <c r="B183" s="10" t="s">
        <v>327</v>
      </c>
      <c r="C183" s="10" t="s">
        <v>353</v>
      </c>
      <c r="D183" s="10" t="s">
        <v>354</v>
      </c>
      <c r="E183" s="10" t="s">
        <v>355</v>
      </c>
      <c r="F183" s="10" t="s">
        <v>356</v>
      </c>
      <c r="G183" s="10" t="s">
        <v>99</v>
      </c>
      <c r="H183" s="10" t="s">
        <v>100</v>
      </c>
      <c r="I183" s="11" t="s">
        <v>339</v>
      </c>
      <c r="J183" s="11"/>
      <c r="K183" s="11"/>
      <c r="L183" s="11"/>
      <c r="M183" s="11"/>
      <c r="N183" s="11"/>
      <c r="O183" s="12"/>
      <c r="P183" s="11"/>
      <c r="Q183" s="11"/>
      <c r="R183" s="11"/>
    </row>
    <row r="184" customFormat="false" ht="23.85" hidden="false" customHeight="false" outlineLevel="0" collapsed="false">
      <c r="A184" s="10" t="s">
        <v>357</v>
      </c>
      <c r="B184" s="10" t="s">
        <v>358</v>
      </c>
      <c r="C184" s="10" t="s">
        <v>359</v>
      </c>
      <c r="D184" s="10" t="s">
        <v>360</v>
      </c>
      <c r="E184" s="10" t="s">
        <v>361</v>
      </c>
      <c r="F184" s="10" t="s">
        <v>356</v>
      </c>
      <c r="G184" s="10" t="s">
        <v>99</v>
      </c>
      <c r="H184" s="10" t="s">
        <v>100</v>
      </c>
      <c r="I184" s="11" t="s">
        <v>339</v>
      </c>
      <c r="J184" s="26"/>
      <c r="K184" s="11"/>
      <c r="L184" s="26"/>
      <c r="M184" s="11"/>
      <c r="N184" s="26"/>
      <c r="O184" s="12"/>
      <c r="P184" s="11"/>
      <c r="Q184" s="11"/>
      <c r="R184" s="11"/>
    </row>
    <row r="185" customFormat="false" ht="23.85" hidden="false" customHeight="false" outlineLevel="0" collapsed="false">
      <c r="A185" s="10" t="s">
        <v>362</v>
      </c>
      <c r="B185" s="10" t="s">
        <v>358</v>
      </c>
      <c r="C185" s="10" t="s">
        <v>363</v>
      </c>
      <c r="D185" s="10" t="s">
        <v>360</v>
      </c>
      <c r="E185" s="10" t="s">
        <v>361</v>
      </c>
      <c r="F185" s="10" t="s">
        <v>356</v>
      </c>
      <c r="G185" s="10" t="s">
        <v>99</v>
      </c>
      <c r="H185" s="10" t="s">
        <v>100</v>
      </c>
      <c r="I185" s="11" t="s">
        <v>339</v>
      </c>
      <c r="J185" s="26"/>
      <c r="K185" s="11"/>
      <c r="L185" s="26"/>
      <c r="M185" s="11"/>
      <c r="N185" s="26"/>
      <c r="O185" s="12"/>
      <c r="P185" s="11"/>
      <c r="Q185" s="11"/>
      <c r="R185" s="11"/>
    </row>
    <row r="186" customFormat="false" ht="15" hidden="false" customHeight="false" outlineLevel="0" collapsed="false">
      <c r="A186" s="10" t="s">
        <v>364</v>
      </c>
      <c r="B186" s="10" t="s">
        <v>358</v>
      </c>
      <c r="C186" s="10" t="s">
        <v>365</v>
      </c>
      <c r="D186" s="10" t="s">
        <v>360</v>
      </c>
      <c r="E186" s="10" t="s">
        <v>361</v>
      </c>
      <c r="F186" s="10" t="s">
        <v>356</v>
      </c>
      <c r="G186" s="10" t="s">
        <v>99</v>
      </c>
      <c r="H186" s="10" t="s">
        <v>100</v>
      </c>
      <c r="I186" s="11" t="s">
        <v>339</v>
      </c>
      <c r="J186" s="26"/>
      <c r="K186" s="11"/>
      <c r="L186" s="26"/>
      <c r="M186" s="11"/>
      <c r="N186" s="26"/>
      <c r="O186" s="12"/>
      <c r="P186" s="11"/>
      <c r="Q186" s="11"/>
      <c r="R186" s="11"/>
    </row>
    <row r="187" customFormat="false" ht="15" hidden="false" customHeight="false" outlineLevel="0" collapsed="false">
      <c r="A187" s="10" t="s">
        <v>366</v>
      </c>
      <c r="B187" s="10" t="s">
        <v>358</v>
      </c>
      <c r="C187" s="10" t="s">
        <v>367</v>
      </c>
      <c r="D187" s="10" t="s">
        <v>360</v>
      </c>
      <c r="E187" s="10" t="s">
        <v>361</v>
      </c>
      <c r="F187" s="10" t="s">
        <v>356</v>
      </c>
      <c r="G187" s="10" t="s">
        <v>99</v>
      </c>
      <c r="H187" s="10" t="s">
        <v>100</v>
      </c>
      <c r="I187" s="11" t="s">
        <v>339</v>
      </c>
      <c r="J187" s="26"/>
      <c r="K187" s="11"/>
      <c r="L187" s="26"/>
      <c r="M187" s="11"/>
      <c r="N187" s="26"/>
      <c r="O187" s="12"/>
      <c r="P187" s="11"/>
      <c r="Q187" s="11"/>
      <c r="R187" s="11"/>
    </row>
    <row r="188" customFormat="false" ht="23.85" hidden="false" customHeight="false" outlineLevel="0" collapsed="false">
      <c r="A188" s="10" t="s">
        <v>368</v>
      </c>
      <c r="B188" s="10" t="s">
        <v>358</v>
      </c>
      <c r="C188" s="10" t="s">
        <v>369</v>
      </c>
      <c r="D188" s="10" t="s">
        <v>360</v>
      </c>
      <c r="E188" s="10" t="s">
        <v>370</v>
      </c>
      <c r="F188" s="10" t="s">
        <v>356</v>
      </c>
      <c r="G188" s="10" t="s">
        <v>99</v>
      </c>
      <c r="H188" s="10" t="s">
        <v>100</v>
      </c>
      <c r="I188" s="11" t="s">
        <v>339</v>
      </c>
      <c r="J188" s="26"/>
      <c r="K188" s="11"/>
      <c r="L188" s="26"/>
      <c r="M188" s="11"/>
      <c r="N188" s="26"/>
      <c r="O188" s="12"/>
      <c r="P188" s="11"/>
      <c r="Q188" s="11"/>
      <c r="R188" s="11"/>
    </row>
    <row r="189" customFormat="false" ht="23.85" hidden="false" customHeight="false" outlineLevel="0" collapsed="false">
      <c r="A189" s="10" t="s">
        <v>371</v>
      </c>
      <c r="B189" s="10" t="s">
        <v>358</v>
      </c>
      <c r="C189" s="10" t="s">
        <v>372</v>
      </c>
      <c r="D189" s="10" t="s">
        <v>329</v>
      </c>
      <c r="E189" s="10" t="s">
        <v>373</v>
      </c>
      <c r="F189" s="10" t="s">
        <v>356</v>
      </c>
      <c r="G189" s="10" t="s">
        <v>99</v>
      </c>
      <c r="H189" s="10" t="s">
        <v>100</v>
      </c>
      <c r="I189" s="11" t="s">
        <v>339</v>
      </c>
      <c r="J189" s="25"/>
      <c r="K189" s="11"/>
      <c r="L189" s="25"/>
      <c r="M189" s="11"/>
      <c r="N189" s="25"/>
      <c r="O189" s="12"/>
      <c r="P189" s="11"/>
      <c r="Q189" s="11"/>
      <c r="R189" s="11"/>
    </row>
    <row r="190" customFormat="false" ht="35.05" hidden="false" customHeight="false" outlineLevel="0" collapsed="false">
      <c r="A190" s="10" t="s">
        <v>374</v>
      </c>
      <c r="B190" s="10" t="s">
        <v>375</v>
      </c>
      <c r="C190" s="10" t="s">
        <v>376</v>
      </c>
      <c r="D190" s="10" t="s">
        <v>377</v>
      </c>
      <c r="E190" s="10" t="s">
        <v>378</v>
      </c>
      <c r="F190" s="10" t="s">
        <v>356</v>
      </c>
      <c r="G190" s="10" t="s">
        <v>99</v>
      </c>
      <c r="H190" s="10" t="s">
        <v>100</v>
      </c>
      <c r="I190" s="11" t="s">
        <v>339</v>
      </c>
      <c r="J190" s="11"/>
      <c r="K190" s="11"/>
      <c r="L190" s="11"/>
      <c r="M190" s="11"/>
      <c r="N190" s="11"/>
      <c r="O190" s="12"/>
      <c r="P190" s="11"/>
      <c r="Q190" s="11"/>
      <c r="R190" s="11"/>
    </row>
    <row r="191" customFormat="false" ht="23.85" hidden="false" customHeight="false" outlineLevel="0" collapsed="false">
      <c r="A191" s="10" t="s">
        <v>379</v>
      </c>
      <c r="B191" s="10" t="s">
        <v>375</v>
      </c>
      <c r="C191" s="10" t="s">
        <v>380</v>
      </c>
      <c r="D191" s="10" t="s">
        <v>377</v>
      </c>
      <c r="E191" s="10" t="s">
        <v>378</v>
      </c>
      <c r="F191" s="10" t="s">
        <v>356</v>
      </c>
      <c r="G191" s="10" t="s">
        <v>99</v>
      </c>
      <c r="H191" s="10" t="s">
        <v>100</v>
      </c>
      <c r="I191" s="11" t="s">
        <v>339</v>
      </c>
      <c r="J191" s="11"/>
      <c r="K191" s="11"/>
      <c r="L191" s="11"/>
      <c r="M191" s="11"/>
      <c r="N191" s="11"/>
      <c r="O191" s="12"/>
      <c r="P191" s="11"/>
      <c r="Q191" s="11"/>
      <c r="R191" s="11"/>
    </row>
    <row r="192" customFormat="false" ht="23.85" hidden="false" customHeight="false" outlineLevel="0" collapsed="false">
      <c r="A192" s="10" t="s">
        <v>381</v>
      </c>
      <c r="B192" s="10" t="s">
        <v>375</v>
      </c>
      <c r="C192" s="10" t="s">
        <v>382</v>
      </c>
      <c r="D192" s="10" t="s">
        <v>329</v>
      </c>
      <c r="E192" s="10" t="s">
        <v>378</v>
      </c>
      <c r="F192" s="10" t="s">
        <v>356</v>
      </c>
      <c r="G192" s="10" t="s">
        <v>99</v>
      </c>
      <c r="H192" s="10" t="s">
        <v>100</v>
      </c>
      <c r="I192" s="11" t="s">
        <v>339</v>
      </c>
      <c r="J192" s="25"/>
      <c r="K192" s="11"/>
      <c r="L192" s="25"/>
      <c r="M192" s="11"/>
      <c r="N192" s="25"/>
      <c r="O192" s="12"/>
      <c r="P192" s="11"/>
      <c r="Q192" s="11"/>
      <c r="R192" s="11"/>
    </row>
    <row r="193" customFormat="false" ht="23.85" hidden="false" customHeight="false" outlineLevel="0" collapsed="false">
      <c r="A193" s="10" t="s">
        <v>383</v>
      </c>
      <c r="B193" s="10" t="s">
        <v>384</v>
      </c>
      <c r="C193" s="10" t="s">
        <v>385</v>
      </c>
      <c r="D193" s="10" t="s">
        <v>386</v>
      </c>
      <c r="E193" s="10" t="s">
        <v>387</v>
      </c>
      <c r="F193" s="10" t="s">
        <v>388</v>
      </c>
      <c r="G193" s="10" t="s">
        <v>99</v>
      </c>
      <c r="H193" s="10" t="s">
        <v>100</v>
      </c>
      <c r="I193" s="11" t="s">
        <v>339</v>
      </c>
      <c r="J193" s="11"/>
      <c r="K193" s="11"/>
      <c r="L193" s="11"/>
      <c r="M193" s="11"/>
      <c r="N193" s="11"/>
      <c r="O193" s="12"/>
      <c r="P193" s="11"/>
      <c r="Q193" s="11"/>
      <c r="R193" s="11"/>
    </row>
    <row r="194" customFormat="false" ht="23.85" hidden="false" customHeight="false" outlineLevel="0" collapsed="false">
      <c r="A194" s="10" t="s">
        <v>389</v>
      </c>
      <c r="B194" s="10" t="s">
        <v>384</v>
      </c>
      <c r="C194" s="10" t="s">
        <v>390</v>
      </c>
      <c r="D194" s="10" t="s">
        <v>386</v>
      </c>
      <c r="E194" s="10" t="s">
        <v>391</v>
      </c>
      <c r="F194" s="10" t="s">
        <v>388</v>
      </c>
      <c r="G194" s="10" t="s">
        <v>99</v>
      </c>
      <c r="H194" s="10" t="s">
        <v>100</v>
      </c>
      <c r="I194" s="11" t="s">
        <v>339</v>
      </c>
      <c r="J194" s="11"/>
      <c r="K194" s="11"/>
      <c r="L194" s="11"/>
      <c r="M194" s="11"/>
      <c r="N194" s="11"/>
      <c r="O194" s="12"/>
      <c r="P194" s="11"/>
      <c r="Q194" s="11"/>
      <c r="R194" s="11"/>
    </row>
    <row r="195" customFormat="false" ht="23.85" hidden="false" customHeight="false" outlineLevel="0" collapsed="false">
      <c r="A195" s="10" t="s">
        <v>392</v>
      </c>
      <c r="B195" s="10" t="s">
        <v>384</v>
      </c>
      <c r="C195" s="10" t="s">
        <v>393</v>
      </c>
      <c r="D195" s="10" t="s">
        <v>394</v>
      </c>
      <c r="E195" s="10" t="s">
        <v>395</v>
      </c>
      <c r="F195" s="10" t="s">
        <v>331</v>
      </c>
      <c r="G195" s="10" t="s">
        <v>99</v>
      </c>
      <c r="H195" s="10" t="s">
        <v>100</v>
      </c>
      <c r="I195" s="11" t="s">
        <v>339</v>
      </c>
      <c r="J195" s="11"/>
      <c r="K195" s="11"/>
      <c r="L195" s="11"/>
      <c r="M195" s="11"/>
      <c r="N195" s="11"/>
      <c r="O195" s="12"/>
      <c r="P195" s="11"/>
      <c r="Q195" s="11"/>
      <c r="R195" s="11"/>
    </row>
    <row r="196" customFormat="false" ht="23.85" hidden="false" customHeight="false" outlineLevel="0" collapsed="false">
      <c r="A196" s="10" t="s">
        <v>396</v>
      </c>
      <c r="B196" s="10" t="s">
        <v>384</v>
      </c>
      <c r="C196" s="10" t="s">
        <v>397</v>
      </c>
      <c r="D196" s="10" t="s">
        <v>386</v>
      </c>
      <c r="E196" s="10" t="s">
        <v>398</v>
      </c>
      <c r="F196" s="10" t="s">
        <v>388</v>
      </c>
      <c r="G196" s="10" t="s">
        <v>99</v>
      </c>
      <c r="H196" s="10" t="s">
        <v>100</v>
      </c>
      <c r="I196" s="11" t="s">
        <v>339</v>
      </c>
      <c r="J196" s="11"/>
      <c r="K196" s="11"/>
      <c r="L196" s="11"/>
      <c r="M196" s="11"/>
      <c r="N196" s="11"/>
      <c r="O196" s="12"/>
      <c r="P196" s="11"/>
      <c r="Q196" s="11"/>
      <c r="R196" s="11"/>
    </row>
    <row r="197" customFormat="false" ht="23.85" hidden="false" customHeight="false" outlineLevel="0" collapsed="false">
      <c r="A197" s="10" t="s">
        <v>399</v>
      </c>
      <c r="B197" s="10" t="s">
        <v>384</v>
      </c>
      <c r="C197" s="10" t="s">
        <v>400</v>
      </c>
      <c r="D197" s="10" t="s">
        <v>386</v>
      </c>
      <c r="E197" s="10" t="s">
        <v>330</v>
      </c>
      <c r="F197" s="10" t="s">
        <v>388</v>
      </c>
      <c r="G197" s="10" t="s">
        <v>99</v>
      </c>
      <c r="H197" s="10" t="s">
        <v>100</v>
      </c>
      <c r="I197" s="11" t="s">
        <v>339</v>
      </c>
      <c r="J197" s="11"/>
      <c r="K197" s="11"/>
      <c r="L197" s="11"/>
      <c r="M197" s="11"/>
      <c r="N197" s="11"/>
      <c r="O197" s="12"/>
      <c r="P197" s="11"/>
      <c r="Q197" s="11"/>
      <c r="R197" s="11"/>
    </row>
    <row r="198" customFormat="false" ht="23.85" hidden="false" customHeight="false" outlineLevel="0" collapsed="false">
      <c r="A198" s="10" t="s">
        <v>401</v>
      </c>
      <c r="B198" s="10" t="s">
        <v>384</v>
      </c>
      <c r="C198" s="10" t="s">
        <v>402</v>
      </c>
      <c r="D198" s="10" t="s">
        <v>386</v>
      </c>
      <c r="E198" s="10" t="s">
        <v>403</v>
      </c>
      <c r="F198" s="10" t="s">
        <v>388</v>
      </c>
      <c r="G198" s="10" t="s">
        <v>99</v>
      </c>
      <c r="H198" s="10" t="s">
        <v>100</v>
      </c>
      <c r="I198" s="11" t="s">
        <v>339</v>
      </c>
      <c r="J198" s="11"/>
      <c r="K198" s="11"/>
      <c r="L198" s="11"/>
      <c r="M198" s="11"/>
      <c r="N198" s="11"/>
      <c r="O198" s="12"/>
      <c r="P198" s="11"/>
      <c r="Q198" s="11"/>
      <c r="R198" s="11"/>
    </row>
    <row r="199" customFormat="false" ht="15" hidden="false" customHeight="false" outlineLevel="0" collapsed="false">
      <c r="A199" s="10" t="s">
        <v>404</v>
      </c>
      <c r="B199" s="10" t="s">
        <v>384</v>
      </c>
      <c r="C199" s="10" t="s">
        <v>405</v>
      </c>
      <c r="D199" s="10" t="s">
        <v>386</v>
      </c>
      <c r="E199" s="10" t="s">
        <v>406</v>
      </c>
      <c r="F199" s="10" t="s">
        <v>388</v>
      </c>
      <c r="G199" s="10" t="s">
        <v>99</v>
      </c>
      <c r="H199" s="10" t="s">
        <v>100</v>
      </c>
      <c r="I199" s="11" t="s">
        <v>339</v>
      </c>
      <c r="J199" s="11"/>
      <c r="K199" s="11"/>
      <c r="L199" s="11"/>
      <c r="M199" s="11"/>
      <c r="N199" s="11"/>
      <c r="O199" s="12"/>
      <c r="P199" s="11"/>
      <c r="Q199" s="11"/>
      <c r="R199" s="11"/>
    </row>
    <row r="200" customFormat="false" ht="23.85" hidden="false" customHeight="false" outlineLevel="0" collapsed="false">
      <c r="A200" s="10" t="s">
        <v>407</v>
      </c>
      <c r="B200" s="10" t="s">
        <v>384</v>
      </c>
      <c r="C200" s="10" t="s">
        <v>408</v>
      </c>
      <c r="D200" s="10" t="s">
        <v>409</v>
      </c>
      <c r="E200" s="10" t="s">
        <v>410</v>
      </c>
      <c r="F200" s="10" t="s">
        <v>388</v>
      </c>
      <c r="G200" s="10" t="s">
        <v>99</v>
      </c>
      <c r="H200" s="10" t="s">
        <v>100</v>
      </c>
      <c r="I200" s="11" t="s">
        <v>339</v>
      </c>
      <c r="J200" s="11"/>
      <c r="K200" s="11"/>
      <c r="L200" s="11"/>
      <c r="M200" s="11"/>
      <c r="N200" s="11"/>
      <c r="O200" s="12"/>
      <c r="P200" s="11"/>
      <c r="Q200" s="11"/>
      <c r="R200" s="11"/>
    </row>
    <row r="201" customFormat="false" ht="23.85" hidden="false" customHeight="false" outlineLevel="0" collapsed="false">
      <c r="A201" s="10" t="s">
        <v>411</v>
      </c>
      <c r="B201" s="10" t="s">
        <v>384</v>
      </c>
      <c r="C201" s="10" t="s">
        <v>412</v>
      </c>
      <c r="D201" s="10" t="s">
        <v>413</v>
      </c>
      <c r="E201" s="10" t="s">
        <v>414</v>
      </c>
      <c r="F201" s="10" t="s">
        <v>331</v>
      </c>
      <c r="G201" s="10" t="s">
        <v>99</v>
      </c>
      <c r="H201" s="10" t="s">
        <v>100</v>
      </c>
      <c r="I201" s="11" t="s">
        <v>339</v>
      </c>
      <c r="J201" s="11"/>
      <c r="K201" s="11"/>
      <c r="L201" s="11"/>
      <c r="M201" s="11"/>
      <c r="N201" s="11"/>
      <c r="O201" s="12"/>
      <c r="P201" s="11"/>
      <c r="Q201" s="11"/>
      <c r="R201" s="11"/>
    </row>
    <row r="202" customFormat="false" ht="23.85" hidden="false" customHeight="false" outlineLevel="0" collapsed="false">
      <c r="A202" s="10" t="s">
        <v>415</v>
      </c>
      <c r="B202" s="10" t="s">
        <v>384</v>
      </c>
      <c r="C202" s="10" t="s">
        <v>416</v>
      </c>
      <c r="D202" s="10" t="s">
        <v>386</v>
      </c>
      <c r="E202" s="10" t="s">
        <v>417</v>
      </c>
      <c r="F202" s="10" t="s">
        <v>388</v>
      </c>
      <c r="G202" s="10" t="s">
        <v>99</v>
      </c>
      <c r="H202" s="10" t="s">
        <v>100</v>
      </c>
      <c r="I202" s="11" t="s">
        <v>339</v>
      </c>
      <c r="J202" s="11"/>
      <c r="K202" s="11"/>
      <c r="L202" s="11"/>
      <c r="M202" s="11"/>
      <c r="N202" s="11"/>
      <c r="O202" s="12"/>
      <c r="P202" s="11"/>
      <c r="Q202" s="11"/>
      <c r="R202" s="11"/>
    </row>
    <row r="203" customFormat="false" ht="23.85" hidden="false" customHeight="false" outlineLevel="0" collapsed="false">
      <c r="A203" s="10" t="s">
        <v>418</v>
      </c>
      <c r="B203" s="10" t="s">
        <v>384</v>
      </c>
      <c r="C203" s="10" t="s">
        <v>419</v>
      </c>
      <c r="D203" s="10" t="s">
        <v>386</v>
      </c>
      <c r="E203" s="10" t="s">
        <v>420</v>
      </c>
      <c r="F203" s="10" t="s">
        <v>388</v>
      </c>
      <c r="G203" s="10" t="s">
        <v>99</v>
      </c>
      <c r="H203" s="10" t="s">
        <v>100</v>
      </c>
      <c r="I203" s="11" t="s">
        <v>339</v>
      </c>
      <c r="J203" s="11"/>
      <c r="K203" s="11"/>
      <c r="L203" s="11"/>
      <c r="M203" s="11"/>
      <c r="N203" s="11"/>
      <c r="O203" s="12"/>
      <c r="P203" s="11"/>
      <c r="Q203" s="11"/>
      <c r="R203" s="11"/>
    </row>
    <row r="204" customFormat="false" ht="23.85" hidden="false" customHeight="false" outlineLevel="0" collapsed="false">
      <c r="A204" s="10" t="s">
        <v>421</v>
      </c>
      <c r="B204" s="10" t="s">
        <v>422</v>
      </c>
      <c r="C204" s="10" t="s">
        <v>423</v>
      </c>
      <c r="D204" s="10" t="s">
        <v>329</v>
      </c>
      <c r="E204" s="10" t="s">
        <v>424</v>
      </c>
      <c r="F204" s="10" t="s">
        <v>331</v>
      </c>
      <c r="G204" s="10" t="s">
        <v>99</v>
      </c>
      <c r="H204" s="10" t="s">
        <v>100</v>
      </c>
      <c r="I204" s="11" t="s">
        <v>339</v>
      </c>
      <c r="J204" s="25"/>
      <c r="K204" s="11"/>
      <c r="L204" s="25"/>
      <c r="M204" s="11"/>
      <c r="N204" s="25"/>
      <c r="O204" s="12"/>
      <c r="P204" s="11"/>
      <c r="Q204" s="11"/>
      <c r="R204" s="11"/>
    </row>
    <row r="205" customFormat="false" ht="23.85" hidden="false" customHeight="false" outlineLevel="0" collapsed="false">
      <c r="A205" s="10" t="s">
        <v>425</v>
      </c>
      <c r="B205" s="10" t="s">
        <v>422</v>
      </c>
      <c r="C205" s="10" t="s">
        <v>426</v>
      </c>
      <c r="D205" s="10" t="s">
        <v>329</v>
      </c>
      <c r="E205" s="10" t="s">
        <v>427</v>
      </c>
      <c r="F205" s="10" t="s">
        <v>331</v>
      </c>
      <c r="G205" s="10" t="s">
        <v>99</v>
      </c>
      <c r="H205" s="10" t="s">
        <v>100</v>
      </c>
      <c r="I205" s="11" t="s">
        <v>339</v>
      </c>
      <c r="J205" s="25"/>
      <c r="K205" s="11"/>
      <c r="L205" s="25"/>
      <c r="M205" s="11"/>
      <c r="N205" s="25"/>
      <c r="O205" s="12"/>
      <c r="P205" s="11"/>
      <c r="Q205" s="11"/>
      <c r="R205" s="11"/>
    </row>
    <row r="206" customFormat="false" ht="23.85" hidden="false" customHeight="false" outlineLevel="0" collapsed="false">
      <c r="A206" s="10" t="s">
        <v>428</v>
      </c>
      <c r="B206" s="10" t="s">
        <v>422</v>
      </c>
      <c r="C206" s="10" t="s">
        <v>429</v>
      </c>
      <c r="D206" s="10" t="s">
        <v>329</v>
      </c>
      <c r="E206" s="10" t="s">
        <v>430</v>
      </c>
      <c r="F206" s="10" t="s">
        <v>331</v>
      </c>
      <c r="G206" s="10" t="s">
        <v>99</v>
      </c>
      <c r="H206" s="10" t="s">
        <v>100</v>
      </c>
      <c r="I206" s="11" t="s">
        <v>339</v>
      </c>
      <c r="J206" s="25"/>
      <c r="K206" s="11"/>
      <c r="L206" s="25"/>
      <c r="M206" s="11"/>
      <c r="N206" s="25"/>
      <c r="O206" s="12"/>
      <c r="P206" s="11"/>
      <c r="Q206" s="11"/>
      <c r="R206" s="11"/>
    </row>
    <row r="207" customFormat="false" ht="23.85" hidden="false" customHeight="false" outlineLevel="0" collapsed="false">
      <c r="A207" s="10" t="s">
        <v>431</v>
      </c>
      <c r="B207" s="10" t="s">
        <v>422</v>
      </c>
      <c r="C207" s="10" t="s">
        <v>432</v>
      </c>
      <c r="D207" s="10" t="s">
        <v>329</v>
      </c>
      <c r="E207" s="10" t="s">
        <v>433</v>
      </c>
      <c r="F207" s="10" t="s">
        <v>331</v>
      </c>
      <c r="G207" s="10" t="s">
        <v>99</v>
      </c>
      <c r="H207" s="10" t="s">
        <v>100</v>
      </c>
      <c r="I207" s="11" t="s">
        <v>339</v>
      </c>
      <c r="J207" s="25"/>
      <c r="K207" s="11"/>
      <c r="L207" s="25"/>
      <c r="M207" s="11"/>
      <c r="N207" s="25"/>
      <c r="O207" s="12"/>
      <c r="P207" s="11"/>
      <c r="Q207" s="11"/>
      <c r="R207" s="11"/>
    </row>
    <row r="208" customFormat="false" ht="23.85" hidden="false" customHeight="false" outlineLevel="0" collapsed="false">
      <c r="A208" s="10" t="s">
        <v>434</v>
      </c>
      <c r="B208" s="10" t="s">
        <v>422</v>
      </c>
      <c r="C208" s="10" t="s">
        <v>435</v>
      </c>
      <c r="D208" s="10" t="s">
        <v>329</v>
      </c>
      <c r="E208" s="10" t="s">
        <v>433</v>
      </c>
      <c r="F208" s="10" t="s">
        <v>331</v>
      </c>
      <c r="G208" s="10" t="s">
        <v>99</v>
      </c>
      <c r="H208" s="10" t="s">
        <v>100</v>
      </c>
      <c r="I208" s="11" t="s">
        <v>339</v>
      </c>
      <c r="J208" s="25"/>
      <c r="K208" s="11"/>
      <c r="L208" s="25"/>
      <c r="M208" s="11"/>
      <c r="N208" s="25"/>
      <c r="O208" s="12"/>
      <c r="P208" s="11"/>
      <c r="Q208" s="11"/>
      <c r="R208" s="11"/>
    </row>
    <row r="209" customFormat="false" ht="23.85" hidden="false" customHeight="false" outlineLevel="0" collapsed="false">
      <c r="A209" s="10" t="s">
        <v>436</v>
      </c>
      <c r="B209" s="10" t="s">
        <v>437</v>
      </c>
      <c r="C209" s="10" t="s">
        <v>438</v>
      </c>
      <c r="D209" s="10" t="s">
        <v>439</v>
      </c>
      <c r="E209" s="10" t="s">
        <v>440</v>
      </c>
      <c r="F209" s="10" t="s">
        <v>441</v>
      </c>
      <c r="G209" s="10" t="s">
        <v>99</v>
      </c>
      <c r="H209" s="10" t="s">
        <v>100</v>
      </c>
      <c r="I209" s="11" t="s">
        <v>339</v>
      </c>
      <c r="J209" s="11"/>
      <c r="K209" s="11"/>
      <c r="L209" s="11"/>
      <c r="M209" s="11"/>
      <c r="N209" s="11"/>
      <c r="O209" s="12"/>
      <c r="P209" s="11"/>
      <c r="Q209" s="11"/>
      <c r="R209" s="11"/>
    </row>
    <row r="210" customFormat="false" ht="15" hidden="false" customHeight="false" outlineLevel="0" collapsed="false">
      <c r="A210" s="10" t="s">
        <v>442</v>
      </c>
      <c r="B210" s="10" t="s">
        <v>437</v>
      </c>
      <c r="C210" s="10" t="s">
        <v>443</v>
      </c>
      <c r="D210" s="10" t="s">
        <v>329</v>
      </c>
      <c r="E210" s="10" t="s">
        <v>444</v>
      </c>
      <c r="F210" s="10" t="s">
        <v>331</v>
      </c>
      <c r="G210" s="10" t="s">
        <v>99</v>
      </c>
      <c r="H210" s="10" t="s">
        <v>100</v>
      </c>
      <c r="I210" s="11" t="s">
        <v>339</v>
      </c>
      <c r="J210" s="25"/>
      <c r="K210" s="11"/>
      <c r="L210" s="25"/>
      <c r="M210" s="11"/>
      <c r="N210" s="25"/>
      <c r="O210" s="12"/>
      <c r="P210" s="11"/>
      <c r="Q210" s="11"/>
      <c r="R210" s="11"/>
    </row>
  </sheetData>
  <autoFilter ref="A5:R210"/>
  <dataValidations count="1">
    <dataValidation allowBlank="true" errorStyle="stop" operator="between" showDropDown="false" showErrorMessage="false" showInputMessage="false" sqref="Q7:Q210" type="list">
      <formula1>"Final,Provisional,Estimated,Not available"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52"/>
    <col collapsed="false" customWidth="true" hidden="false" outlineLevel="0" max="5" min="4" style="0" width="30"/>
    <col collapsed="false" customWidth="true" hidden="false" outlineLevel="0" max="6" min="6" style="0" width="52"/>
    <col collapsed="false" customWidth="true" hidden="false" outlineLevel="0" max="7" min="7" style="0" width="24"/>
    <col collapsed="false" customWidth="true" hidden="false" outlineLevel="0" max="8" min="8" style="0" width="18"/>
    <col collapsed="false" customWidth="true" hidden="false" outlineLevel="0" max="9" min="9" style="0" width="24"/>
    <col collapsed="false" customWidth="true" hidden="false" outlineLevel="0" max="10" min="10" style="0" width="26"/>
    <col collapsed="false" customWidth="true" hidden="false" outlineLevel="0" max="11" min="11" style="0" width="10"/>
    <col collapsed="false" customWidth="true" hidden="false" outlineLevel="0" max="12" min="12" style="0" width="16"/>
  </cols>
  <sheetData>
    <row r="1" customFormat="false" ht="17.35" hidden="false" customHeight="false" outlineLevel="0" collapsed="false">
      <c r="A1" s="7" t="s">
        <v>60</v>
      </c>
    </row>
    <row r="2" customFormat="false" ht="15" hidden="false" customHeight="false" outlineLevel="0" collapsed="false">
      <c r="A2" s="8" t="s">
        <v>445</v>
      </c>
    </row>
    <row r="3" customFormat="false" ht="15" hidden="false" customHeight="false" outlineLevel="0" collapsed="false">
      <c r="A3" s="3" t="s">
        <v>62</v>
      </c>
    </row>
    <row r="5" customFormat="false" ht="31.5" hidden="false" customHeight="true" outlineLevel="0" collapsed="false">
      <c r="A5" s="9" t="s">
        <v>310</v>
      </c>
      <c r="B5" s="9" t="s">
        <v>312</v>
      </c>
      <c r="C5" s="9" t="s">
        <v>446</v>
      </c>
      <c r="D5" s="9" t="s">
        <v>447</v>
      </c>
      <c r="E5" s="9" t="s">
        <v>448</v>
      </c>
      <c r="F5" s="9" t="s">
        <v>449</v>
      </c>
      <c r="G5" s="9" t="s">
        <v>323</v>
      </c>
      <c r="H5" s="9" t="s">
        <v>450</v>
      </c>
      <c r="I5" s="9" t="s">
        <v>451</v>
      </c>
      <c r="J5" s="9" t="s">
        <v>314</v>
      </c>
      <c r="K5" s="9" t="s">
        <v>452</v>
      </c>
      <c r="L5" s="9" t="s">
        <v>453</v>
      </c>
    </row>
    <row r="6" customFormat="false" ht="46.25" hidden="false" customHeight="false" outlineLevel="0" collapsed="false">
      <c r="A6" s="10" t="s">
        <v>326</v>
      </c>
      <c r="B6" s="10" t="s">
        <v>338</v>
      </c>
      <c r="C6" s="10" t="s">
        <v>454</v>
      </c>
      <c r="D6" s="10" t="s">
        <v>455</v>
      </c>
      <c r="E6" s="10" t="s">
        <v>456</v>
      </c>
      <c r="F6" s="10" t="s">
        <v>457</v>
      </c>
      <c r="G6" s="10" t="s">
        <v>458</v>
      </c>
      <c r="H6" s="10" t="s">
        <v>459</v>
      </c>
      <c r="I6" s="10" t="s">
        <v>460</v>
      </c>
      <c r="J6" s="10" t="s">
        <v>330</v>
      </c>
      <c r="K6" s="10" t="s">
        <v>41</v>
      </c>
      <c r="L6" s="10" t="s">
        <v>229</v>
      </c>
    </row>
    <row r="7" customFormat="false" ht="23.85" hidden="false" customHeight="false" outlineLevel="0" collapsed="false">
      <c r="A7" s="10" t="s">
        <v>340</v>
      </c>
      <c r="B7" s="10" t="s">
        <v>341</v>
      </c>
      <c r="C7" s="10" t="s">
        <v>461</v>
      </c>
      <c r="D7" s="10" t="s">
        <v>455</v>
      </c>
      <c r="E7" s="10" t="s">
        <v>456</v>
      </c>
      <c r="F7" s="10" t="s">
        <v>462</v>
      </c>
      <c r="G7" s="10" t="s">
        <v>463</v>
      </c>
      <c r="H7" s="10" t="s">
        <v>459</v>
      </c>
      <c r="I7" s="10" t="s">
        <v>464</v>
      </c>
      <c r="J7" s="10" t="s">
        <v>330</v>
      </c>
      <c r="K7" s="10" t="s">
        <v>41</v>
      </c>
      <c r="L7" s="10" t="s">
        <v>229</v>
      </c>
    </row>
    <row r="8" customFormat="false" ht="35.05" hidden="false" customHeight="false" outlineLevel="0" collapsed="false">
      <c r="A8" s="10" t="s">
        <v>342</v>
      </c>
      <c r="B8" s="10" t="s">
        <v>343</v>
      </c>
      <c r="C8" s="10" t="s">
        <v>465</v>
      </c>
      <c r="D8" s="10" t="s">
        <v>466</v>
      </c>
      <c r="E8" s="10" t="s">
        <v>467</v>
      </c>
      <c r="F8" s="10" t="s">
        <v>468</v>
      </c>
      <c r="G8" s="10" t="s">
        <v>463</v>
      </c>
      <c r="H8" s="10" t="s">
        <v>459</v>
      </c>
      <c r="I8" s="10" t="s">
        <v>469</v>
      </c>
      <c r="J8" s="10" t="s">
        <v>344</v>
      </c>
      <c r="K8" s="10" t="s">
        <v>47</v>
      </c>
      <c r="L8" s="10" t="s">
        <v>229</v>
      </c>
    </row>
    <row r="9" customFormat="false" ht="23.85" hidden="false" customHeight="false" outlineLevel="0" collapsed="false">
      <c r="A9" s="10" t="s">
        <v>345</v>
      </c>
      <c r="B9" s="10" t="s">
        <v>346</v>
      </c>
      <c r="C9" s="10" t="s">
        <v>470</v>
      </c>
      <c r="D9" s="10" t="s">
        <v>471</v>
      </c>
      <c r="E9" s="10" t="s">
        <v>467</v>
      </c>
      <c r="F9" s="10" t="s">
        <v>472</v>
      </c>
      <c r="G9" s="10" t="s">
        <v>463</v>
      </c>
      <c r="H9" s="10" t="s">
        <v>459</v>
      </c>
      <c r="I9" s="10" t="s">
        <v>469</v>
      </c>
      <c r="J9" s="10" t="s">
        <v>344</v>
      </c>
      <c r="K9" s="10" t="s">
        <v>47</v>
      </c>
      <c r="L9" s="10" t="s">
        <v>229</v>
      </c>
    </row>
    <row r="10" customFormat="false" ht="35.05" hidden="false" customHeight="false" outlineLevel="0" collapsed="false">
      <c r="A10" s="10" t="s">
        <v>347</v>
      </c>
      <c r="B10" s="10" t="s">
        <v>348</v>
      </c>
      <c r="C10" s="10" t="s">
        <v>473</v>
      </c>
      <c r="D10" s="10" t="s">
        <v>474</v>
      </c>
      <c r="E10" s="10" t="s">
        <v>475</v>
      </c>
      <c r="F10" s="10" t="s">
        <v>476</v>
      </c>
      <c r="G10" s="10" t="s">
        <v>463</v>
      </c>
      <c r="H10" s="10" t="s">
        <v>477</v>
      </c>
      <c r="I10" s="10" t="s">
        <v>478</v>
      </c>
      <c r="J10" s="10" t="s">
        <v>330</v>
      </c>
      <c r="K10" s="10" t="s">
        <v>41</v>
      </c>
      <c r="L10" s="10" t="s">
        <v>229</v>
      </c>
    </row>
    <row r="11" customFormat="false" ht="35.05" hidden="false" customHeight="false" outlineLevel="0" collapsed="false">
      <c r="A11" s="10" t="s">
        <v>349</v>
      </c>
      <c r="B11" s="10" t="s">
        <v>350</v>
      </c>
      <c r="C11" s="10" t="s">
        <v>479</v>
      </c>
      <c r="D11" s="10" t="s">
        <v>480</v>
      </c>
      <c r="E11" s="10" t="s">
        <v>481</v>
      </c>
      <c r="F11" s="10" t="s">
        <v>482</v>
      </c>
      <c r="G11" s="10" t="s">
        <v>483</v>
      </c>
      <c r="H11" s="10" t="s">
        <v>459</v>
      </c>
      <c r="I11" s="10" t="s">
        <v>484</v>
      </c>
      <c r="J11" s="10" t="s">
        <v>351</v>
      </c>
      <c r="K11" s="10" t="s">
        <v>43</v>
      </c>
      <c r="L11" s="10" t="s">
        <v>229</v>
      </c>
    </row>
    <row r="12" customFormat="false" ht="35.05" hidden="false" customHeight="false" outlineLevel="0" collapsed="false">
      <c r="A12" s="10" t="s">
        <v>352</v>
      </c>
      <c r="B12" s="10" t="s">
        <v>353</v>
      </c>
      <c r="C12" s="10" t="s">
        <v>485</v>
      </c>
      <c r="D12" s="10" t="s">
        <v>486</v>
      </c>
      <c r="E12" s="10" t="s">
        <v>487</v>
      </c>
      <c r="F12" s="10" t="s">
        <v>488</v>
      </c>
      <c r="G12" s="10" t="s">
        <v>489</v>
      </c>
      <c r="H12" s="10" t="s">
        <v>490</v>
      </c>
      <c r="I12" s="10" t="s">
        <v>491</v>
      </c>
      <c r="J12" s="10" t="s">
        <v>355</v>
      </c>
      <c r="K12" s="10" t="s">
        <v>47</v>
      </c>
      <c r="L12" s="10" t="s">
        <v>229</v>
      </c>
    </row>
    <row r="13" customFormat="false" ht="35.05" hidden="false" customHeight="false" outlineLevel="0" collapsed="false">
      <c r="A13" s="10" t="s">
        <v>357</v>
      </c>
      <c r="B13" s="10" t="s">
        <v>359</v>
      </c>
      <c r="C13" s="10" t="s">
        <v>492</v>
      </c>
      <c r="D13" s="10" t="s">
        <v>493</v>
      </c>
      <c r="E13" s="10" t="s">
        <v>494</v>
      </c>
      <c r="F13" s="10" t="s">
        <v>495</v>
      </c>
      <c r="G13" s="10" t="s">
        <v>496</v>
      </c>
      <c r="H13" s="10" t="s">
        <v>459</v>
      </c>
      <c r="I13" s="10" t="s">
        <v>497</v>
      </c>
      <c r="J13" s="10" t="s">
        <v>361</v>
      </c>
      <c r="K13" s="10" t="s">
        <v>47</v>
      </c>
      <c r="L13" s="10" t="s">
        <v>229</v>
      </c>
    </row>
    <row r="14" customFormat="false" ht="23.85" hidden="false" customHeight="false" outlineLevel="0" collapsed="false">
      <c r="A14" s="10" t="s">
        <v>362</v>
      </c>
      <c r="B14" s="10" t="s">
        <v>363</v>
      </c>
      <c r="C14" s="10" t="s">
        <v>498</v>
      </c>
      <c r="D14" s="10" t="s">
        <v>499</v>
      </c>
      <c r="E14" s="10" t="s">
        <v>500</v>
      </c>
      <c r="F14" s="10" t="s">
        <v>501</v>
      </c>
      <c r="G14" s="10" t="s">
        <v>463</v>
      </c>
      <c r="H14" s="10" t="s">
        <v>459</v>
      </c>
      <c r="I14" s="10" t="s">
        <v>497</v>
      </c>
      <c r="J14" s="10" t="s">
        <v>361</v>
      </c>
      <c r="K14" s="10" t="s">
        <v>47</v>
      </c>
      <c r="L14" s="10" t="s">
        <v>229</v>
      </c>
    </row>
    <row r="15" customFormat="false" ht="23.85" hidden="false" customHeight="false" outlineLevel="0" collapsed="false">
      <c r="A15" s="10" t="s">
        <v>364</v>
      </c>
      <c r="B15" s="10" t="s">
        <v>365</v>
      </c>
      <c r="C15" s="10" t="s">
        <v>502</v>
      </c>
      <c r="D15" s="10" t="s">
        <v>503</v>
      </c>
      <c r="E15" s="10" t="s">
        <v>500</v>
      </c>
      <c r="F15" s="10" t="s">
        <v>504</v>
      </c>
      <c r="G15" s="10" t="s">
        <v>463</v>
      </c>
      <c r="H15" s="10" t="s">
        <v>459</v>
      </c>
      <c r="I15" s="10" t="s">
        <v>497</v>
      </c>
      <c r="J15" s="10" t="s">
        <v>361</v>
      </c>
      <c r="K15" s="10" t="s">
        <v>47</v>
      </c>
      <c r="L15" s="10" t="s">
        <v>229</v>
      </c>
    </row>
    <row r="16" customFormat="false" ht="23.85" hidden="false" customHeight="false" outlineLevel="0" collapsed="false">
      <c r="A16" s="10" t="s">
        <v>366</v>
      </c>
      <c r="B16" s="10" t="s">
        <v>367</v>
      </c>
      <c r="C16" s="10" t="s">
        <v>505</v>
      </c>
      <c r="D16" s="10" t="s">
        <v>506</v>
      </c>
      <c r="E16" s="10" t="s">
        <v>500</v>
      </c>
      <c r="F16" s="10" t="s">
        <v>507</v>
      </c>
      <c r="G16" s="10" t="s">
        <v>463</v>
      </c>
      <c r="H16" s="10" t="s">
        <v>459</v>
      </c>
      <c r="I16" s="10" t="s">
        <v>508</v>
      </c>
      <c r="J16" s="10" t="s">
        <v>361</v>
      </c>
      <c r="K16" s="10" t="s">
        <v>47</v>
      </c>
      <c r="L16" s="10" t="s">
        <v>229</v>
      </c>
    </row>
    <row r="17" customFormat="false" ht="23.85" hidden="false" customHeight="false" outlineLevel="0" collapsed="false">
      <c r="A17" s="10" t="s">
        <v>368</v>
      </c>
      <c r="B17" s="10" t="s">
        <v>369</v>
      </c>
      <c r="C17" s="10" t="s">
        <v>509</v>
      </c>
      <c r="D17" s="10" t="s">
        <v>510</v>
      </c>
      <c r="E17" s="10" t="s">
        <v>511</v>
      </c>
      <c r="F17" s="10" t="s">
        <v>512</v>
      </c>
      <c r="G17" s="10" t="s">
        <v>463</v>
      </c>
      <c r="H17" s="10" t="s">
        <v>459</v>
      </c>
      <c r="I17" s="10" t="s">
        <v>513</v>
      </c>
      <c r="J17" s="10" t="s">
        <v>370</v>
      </c>
      <c r="K17" s="10" t="s">
        <v>39</v>
      </c>
      <c r="L17" s="10" t="s">
        <v>229</v>
      </c>
    </row>
    <row r="18" customFormat="false" ht="46.25" hidden="false" customHeight="false" outlineLevel="0" collapsed="false">
      <c r="A18" s="10" t="s">
        <v>371</v>
      </c>
      <c r="B18" s="10" t="s">
        <v>372</v>
      </c>
      <c r="C18" s="10" t="s">
        <v>514</v>
      </c>
      <c r="D18" s="10" t="s">
        <v>515</v>
      </c>
      <c r="E18" s="10" t="s">
        <v>516</v>
      </c>
      <c r="F18" s="10" t="s">
        <v>517</v>
      </c>
      <c r="G18" s="10" t="s">
        <v>518</v>
      </c>
      <c r="H18" s="10" t="s">
        <v>459</v>
      </c>
      <c r="I18" s="10" t="s">
        <v>519</v>
      </c>
      <c r="J18" s="10" t="s">
        <v>373</v>
      </c>
      <c r="K18" s="10" t="s">
        <v>47</v>
      </c>
      <c r="L18" s="10" t="s">
        <v>229</v>
      </c>
    </row>
    <row r="19" customFormat="false" ht="46.25" hidden="false" customHeight="false" outlineLevel="0" collapsed="false">
      <c r="A19" s="10" t="s">
        <v>374</v>
      </c>
      <c r="B19" s="10" t="s">
        <v>376</v>
      </c>
      <c r="C19" s="10" t="s">
        <v>520</v>
      </c>
      <c r="D19" s="10" t="s">
        <v>521</v>
      </c>
      <c r="E19" s="10" t="s">
        <v>522</v>
      </c>
      <c r="F19" s="10" t="s">
        <v>523</v>
      </c>
      <c r="G19" s="10" t="s">
        <v>524</v>
      </c>
      <c r="H19" s="10" t="s">
        <v>459</v>
      </c>
      <c r="I19" s="10" t="s">
        <v>525</v>
      </c>
      <c r="J19" s="10" t="s">
        <v>378</v>
      </c>
      <c r="K19" s="10" t="s">
        <v>39</v>
      </c>
      <c r="L19" s="10" t="s">
        <v>229</v>
      </c>
    </row>
    <row r="20" customFormat="false" ht="35.05" hidden="false" customHeight="false" outlineLevel="0" collapsed="false">
      <c r="A20" s="10" t="s">
        <v>379</v>
      </c>
      <c r="B20" s="10" t="s">
        <v>380</v>
      </c>
      <c r="C20" s="10" t="s">
        <v>526</v>
      </c>
      <c r="D20" s="10" t="s">
        <v>527</v>
      </c>
      <c r="E20" s="10" t="s">
        <v>522</v>
      </c>
      <c r="F20" s="10" t="s">
        <v>528</v>
      </c>
      <c r="G20" s="10" t="s">
        <v>529</v>
      </c>
      <c r="H20" s="10" t="s">
        <v>459</v>
      </c>
      <c r="I20" s="10" t="s">
        <v>530</v>
      </c>
      <c r="J20" s="10" t="s">
        <v>378</v>
      </c>
      <c r="K20" s="10" t="s">
        <v>39</v>
      </c>
      <c r="L20" s="10" t="s">
        <v>229</v>
      </c>
    </row>
    <row r="21" customFormat="false" ht="35.05" hidden="false" customHeight="false" outlineLevel="0" collapsed="false">
      <c r="A21" s="10" t="s">
        <v>381</v>
      </c>
      <c r="B21" s="10" t="s">
        <v>382</v>
      </c>
      <c r="C21" s="10" t="s">
        <v>531</v>
      </c>
      <c r="D21" s="10" t="s">
        <v>532</v>
      </c>
      <c r="E21" s="10" t="s">
        <v>533</v>
      </c>
      <c r="F21" s="10" t="s">
        <v>534</v>
      </c>
      <c r="G21" s="10" t="s">
        <v>463</v>
      </c>
      <c r="H21" s="10" t="s">
        <v>459</v>
      </c>
      <c r="I21" s="10" t="s">
        <v>530</v>
      </c>
      <c r="J21" s="10" t="s">
        <v>378</v>
      </c>
      <c r="K21" s="10" t="s">
        <v>39</v>
      </c>
      <c r="L21" s="10" t="s">
        <v>229</v>
      </c>
    </row>
    <row r="22" customFormat="false" ht="35.05" hidden="false" customHeight="false" outlineLevel="0" collapsed="false">
      <c r="A22" s="10" t="s">
        <v>383</v>
      </c>
      <c r="B22" s="10" t="s">
        <v>385</v>
      </c>
      <c r="C22" s="10" t="s">
        <v>535</v>
      </c>
      <c r="D22" s="10" t="s">
        <v>536</v>
      </c>
      <c r="E22" s="10" t="s">
        <v>536</v>
      </c>
      <c r="F22" s="10" t="s">
        <v>537</v>
      </c>
      <c r="G22" s="10" t="s">
        <v>538</v>
      </c>
      <c r="H22" s="10" t="s">
        <v>539</v>
      </c>
      <c r="I22" s="10" t="s">
        <v>536</v>
      </c>
      <c r="J22" s="10" t="s">
        <v>387</v>
      </c>
      <c r="K22" s="10" t="s">
        <v>47</v>
      </c>
      <c r="L22" s="10" t="s">
        <v>540</v>
      </c>
    </row>
    <row r="23" customFormat="false" ht="23.85" hidden="false" customHeight="false" outlineLevel="0" collapsed="false">
      <c r="A23" s="10" t="s">
        <v>389</v>
      </c>
      <c r="B23" s="10" t="s">
        <v>390</v>
      </c>
      <c r="C23" s="10" t="s">
        <v>541</v>
      </c>
      <c r="D23" s="10" t="s">
        <v>536</v>
      </c>
      <c r="E23" s="10" t="s">
        <v>536</v>
      </c>
      <c r="F23" s="10" t="s">
        <v>542</v>
      </c>
      <c r="G23" s="10" t="s">
        <v>543</v>
      </c>
      <c r="H23" s="10" t="s">
        <v>539</v>
      </c>
      <c r="I23" s="10" t="s">
        <v>536</v>
      </c>
      <c r="J23" s="10" t="s">
        <v>391</v>
      </c>
      <c r="K23" s="10" t="s">
        <v>47</v>
      </c>
      <c r="L23" s="10" t="s">
        <v>540</v>
      </c>
    </row>
    <row r="24" customFormat="false" ht="23.85" hidden="false" customHeight="false" outlineLevel="0" collapsed="false">
      <c r="A24" s="10" t="s">
        <v>392</v>
      </c>
      <c r="B24" s="10" t="s">
        <v>393</v>
      </c>
      <c r="C24" s="10" t="s">
        <v>544</v>
      </c>
      <c r="D24" s="10" t="s">
        <v>545</v>
      </c>
      <c r="E24" s="10" t="s">
        <v>536</v>
      </c>
      <c r="F24" s="10" t="s">
        <v>546</v>
      </c>
      <c r="G24" s="10" t="s">
        <v>547</v>
      </c>
      <c r="H24" s="10" t="s">
        <v>548</v>
      </c>
      <c r="I24" s="10" t="s">
        <v>549</v>
      </c>
      <c r="J24" s="10" t="s">
        <v>395</v>
      </c>
      <c r="K24" s="10" t="s">
        <v>49</v>
      </c>
      <c r="L24" s="10" t="s">
        <v>540</v>
      </c>
    </row>
    <row r="25" customFormat="false" ht="23.85" hidden="false" customHeight="false" outlineLevel="0" collapsed="false">
      <c r="A25" s="10" t="s">
        <v>396</v>
      </c>
      <c r="B25" s="10" t="s">
        <v>397</v>
      </c>
      <c r="C25" s="10" t="s">
        <v>550</v>
      </c>
      <c r="D25" s="10" t="s">
        <v>536</v>
      </c>
      <c r="E25" s="10" t="s">
        <v>536</v>
      </c>
      <c r="F25" s="10" t="s">
        <v>551</v>
      </c>
      <c r="G25" s="10" t="s">
        <v>543</v>
      </c>
      <c r="H25" s="10" t="s">
        <v>552</v>
      </c>
      <c r="I25" s="10" t="s">
        <v>536</v>
      </c>
      <c r="J25" s="10" t="s">
        <v>398</v>
      </c>
      <c r="K25" s="10" t="s">
        <v>41</v>
      </c>
      <c r="L25" s="10" t="s">
        <v>540</v>
      </c>
    </row>
    <row r="26" customFormat="false" ht="35.05" hidden="false" customHeight="false" outlineLevel="0" collapsed="false">
      <c r="A26" s="10" t="s">
        <v>399</v>
      </c>
      <c r="B26" s="10" t="s">
        <v>400</v>
      </c>
      <c r="C26" s="10" t="s">
        <v>553</v>
      </c>
      <c r="D26" s="10" t="s">
        <v>536</v>
      </c>
      <c r="E26" s="10" t="s">
        <v>536</v>
      </c>
      <c r="F26" s="10" t="s">
        <v>554</v>
      </c>
      <c r="G26" s="10" t="s">
        <v>555</v>
      </c>
      <c r="H26" s="10" t="s">
        <v>556</v>
      </c>
      <c r="I26" s="10" t="s">
        <v>536</v>
      </c>
      <c r="J26" s="10" t="s">
        <v>330</v>
      </c>
      <c r="K26" s="10" t="s">
        <v>41</v>
      </c>
      <c r="L26" s="10" t="s">
        <v>540</v>
      </c>
    </row>
    <row r="27" customFormat="false" ht="35.05" hidden="false" customHeight="false" outlineLevel="0" collapsed="false">
      <c r="A27" s="10" t="s">
        <v>401</v>
      </c>
      <c r="B27" s="10" t="s">
        <v>402</v>
      </c>
      <c r="C27" s="10" t="s">
        <v>557</v>
      </c>
      <c r="D27" s="10" t="s">
        <v>536</v>
      </c>
      <c r="E27" s="10" t="s">
        <v>536</v>
      </c>
      <c r="F27" s="10" t="s">
        <v>558</v>
      </c>
      <c r="G27" s="10" t="s">
        <v>559</v>
      </c>
      <c r="H27" s="10" t="s">
        <v>560</v>
      </c>
      <c r="I27" s="10" t="s">
        <v>536</v>
      </c>
      <c r="J27" s="10" t="s">
        <v>403</v>
      </c>
      <c r="K27" s="10" t="s">
        <v>45</v>
      </c>
      <c r="L27" s="10" t="s">
        <v>540</v>
      </c>
    </row>
    <row r="28" customFormat="false" ht="23.85" hidden="false" customHeight="false" outlineLevel="0" collapsed="false">
      <c r="A28" s="10" t="s">
        <v>404</v>
      </c>
      <c r="B28" s="10" t="s">
        <v>405</v>
      </c>
      <c r="C28" s="10" t="s">
        <v>561</v>
      </c>
      <c r="D28" s="10" t="s">
        <v>536</v>
      </c>
      <c r="E28" s="10" t="s">
        <v>536</v>
      </c>
      <c r="F28" s="10" t="s">
        <v>562</v>
      </c>
      <c r="G28" s="10" t="s">
        <v>559</v>
      </c>
      <c r="H28" s="10" t="s">
        <v>560</v>
      </c>
      <c r="I28" s="10" t="s">
        <v>536</v>
      </c>
      <c r="J28" s="10" t="s">
        <v>406</v>
      </c>
      <c r="K28" s="10" t="s">
        <v>45</v>
      </c>
      <c r="L28" s="10" t="s">
        <v>540</v>
      </c>
    </row>
    <row r="29" customFormat="false" ht="23.85" hidden="false" customHeight="false" outlineLevel="0" collapsed="false">
      <c r="A29" s="10" t="s">
        <v>407</v>
      </c>
      <c r="B29" s="10" t="s">
        <v>408</v>
      </c>
      <c r="C29" s="10" t="s">
        <v>563</v>
      </c>
      <c r="D29" s="10" t="s">
        <v>536</v>
      </c>
      <c r="E29" s="10" t="s">
        <v>536</v>
      </c>
      <c r="F29" s="10" t="s">
        <v>564</v>
      </c>
      <c r="G29" s="10" t="s">
        <v>565</v>
      </c>
      <c r="H29" s="10" t="s">
        <v>560</v>
      </c>
      <c r="I29" s="10" t="s">
        <v>536</v>
      </c>
      <c r="J29" s="10" t="s">
        <v>410</v>
      </c>
      <c r="K29" s="10" t="s">
        <v>45</v>
      </c>
      <c r="L29" s="10" t="s">
        <v>540</v>
      </c>
    </row>
    <row r="30" customFormat="false" ht="35.05" hidden="false" customHeight="false" outlineLevel="0" collapsed="false">
      <c r="A30" s="10" t="s">
        <v>411</v>
      </c>
      <c r="B30" s="10" t="s">
        <v>412</v>
      </c>
      <c r="C30" s="10" t="s">
        <v>566</v>
      </c>
      <c r="D30" s="10" t="s">
        <v>567</v>
      </c>
      <c r="E30" s="10" t="s">
        <v>568</v>
      </c>
      <c r="F30" s="10" t="s">
        <v>569</v>
      </c>
      <c r="G30" s="10" t="s">
        <v>570</v>
      </c>
      <c r="H30" s="10" t="s">
        <v>560</v>
      </c>
      <c r="I30" s="10" t="s">
        <v>571</v>
      </c>
      <c r="J30" s="10" t="s">
        <v>414</v>
      </c>
      <c r="K30" s="10" t="s">
        <v>45</v>
      </c>
      <c r="L30" s="10" t="s">
        <v>540</v>
      </c>
    </row>
    <row r="31" customFormat="false" ht="23.85" hidden="false" customHeight="false" outlineLevel="0" collapsed="false">
      <c r="A31" s="10" t="s">
        <v>415</v>
      </c>
      <c r="B31" s="10" t="s">
        <v>416</v>
      </c>
      <c r="C31" s="10" t="s">
        <v>572</v>
      </c>
      <c r="D31" s="10" t="s">
        <v>536</v>
      </c>
      <c r="E31" s="10" t="s">
        <v>536</v>
      </c>
      <c r="F31" s="10" t="s">
        <v>573</v>
      </c>
      <c r="G31" s="10" t="s">
        <v>543</v>
      </c>
      <c r="H31" s="10" t="s">
        <v>539</v>
      </c>
      <c r="I31" s="10" t="s">
        <v>536</v>
      </c>
      <c r="J31" s="10" t="s">
        <v>417</v>
      </c>
      <c r="K31" s="10" t="s">
        <v>47</v>
      </c>
      <c r="L31" s="10" t="s">
        <v>540</v>
      </c>
    </row>
    <row r="32" customFormat="false" ht="23.85" hidden="false" customHeight="false" outlineLevel="0" collapsed="false">
      <c r="A32" s="10" t="s">
        <v>418</v>
      </c>
      <c r="B32" s="10" t="s">
        <v>419</v>
      </c>
      <c r="C32" s="10" t="s">
        <v>574</v>
      </c>
      <c r="D32" s="10" t="s">
        <v>536</v>
      </c>
      <c r="E32" s="10" t="s">
        <v>536</v>
      </c>
      <c r="F32" s="10" t="s">
        <v>575</v>
      </c>
      <c r="G32" s="10" t="s">
        <v>576</v>
      </c>
      <c r="H32" s="10" t="s">
        <v>539</v>
      </c>
      <c r="I32" s="10" t="s">
        <v>536</v>
      </c>
      <c r="J32" s="10" t="s">
        <v>420</v>
      </c>
      <c r="K32" s="10" t="s">
        <v>47</v>
      </c>
      <c r="L32" s="10" t="s">
        <v>540</v>
      </c>
    </row>
    <row r="33" customFormat="false" ht="57.45" hidden="false" customHeight="false" outlineLevel="0" collapsed="false">
      <c r="A33" s="10" t="s">
        <v>421</v>
      </c>
      <c r="B33" s="10" t="s">
        <v>423</v>
      </c>
      <c r="C33" s="10" t="s">
        <v>577</v>
      </c>
      <c r="D33" s="10" t="s">
        <v>578</v>
      </c>
      <c r="E33" s="10" t="s">
        <v>579</v>
      </c>
      <c r="F33" s="10" t="s">
        <v>580</v>
      </c>
      <c r="G33" s="10" t="s">
        <v>581</v>
      </c>
      <c r="H33" s="10" t="s">
        <v>552</v>
      </c>
      <c r="I33" s="10" t="s">
        <v>582</v>
      </c>
      <c r="J33" s="10" t="s">
        <v>424</v>
      </c>
      <c r="K33" s="10" t="s">
        <v>41</v>
      </c>
      <c r="L33" s="10" t="s">
        <v>583</v>
      </c>
    </row>
    <row r="34" customFormat="false" ht="35.05" hidden="false" customHeight="false" outlineLevel="0" collapsed="false">
      <c r="A34" s="10" t="s">
        <v>425</v>
      </c>
      <c r="B34" s="10" t="s">
        <v>426</v>
      </c>
      <c r="C34" s="10" t="s">
        <v>584</v>
      </c>
      <c r="D34" s="10" t="s">
        <v>585</v>
      </c>
      <c r="E34" s="10" t="s">
        <v>586</v>
      </c>
      <c r="F34" s="10" t="s">
        <v>587</v>
      </c>
      <c r="G34" s="10" t="s">
        <v>588</v>
      </c>
      <c r="H34" s="10" t="s">
        <v>589</v>
      </c>
      <c r="I34" s="10" t="s">
        <v>590</v>
      </c>
      <c r="J34" s="10" t="s">
        <v>427</v>
      </c>
      <c r="K34" s="10" t="s">
        <v>41</v>
      </c>
      <c r="L34" s="10" t="s">
        <v>583</v>
      </c>
    </row>
    <row r="35" customFormat="false" ht="35.05" hidden="false" customHeight="false" outlineLevel="0" collapsed="false">
      <c r="A35" s="10" t="s">
        <v>428</v>
      </c>
      <c r="B35" s="10" t="s">
        <v>429</v>
      </c>
      <c r="C35" s="10" t="s">
        <v>591</v>
      </c>
      <c r="D35" s="10" t="s">
        <v>592</v>
      </c>
      <c r="E35" s="10" t="s">
        <v>593</v>
      </c>
      <c r="F35" s="10" t="s">
        <v>594</v>
      </c>
      <c r="G35" s="10" t="s">
        <v>595</v>
      </c>
      <c r="H35" s="10" t="s">
        <v>560</v>
      </c>
      <c r="I35" s="10" t="s">
        <v>590</v>
      </c>
      <c r="J35" s="10" t="s">
        <v>430</v>
      </c>
      <c r="K35" s="10" t="s">
        <v>45</v>
      </c>
      <c r="L35" s="10" t="s">
        <v>583</v>
      </c>
    </row>
    <row r="36" customFormat="false" ht="23.85" hidden="false" customHeight="false" outlineLevel="0" collapsed="false">
      <c r="A36" s="10" t="s">
        <v>431</v>
      </c>
      <c r="B36" s="10" t="s">
        <v>432</v>
      </c>
      <c r="C36" s="10" t="s">
        <v>596</v>
      </c>
      <c r="D36" s="10" t="s">
        <v>597</v>
      </c>
      <c r="E36" s="10" t="s">
        <v>598</v>
      </c>
      <c r="F36" s="10" t="s">
        <v>599</v>
      </c>
      <c r="G36" s="10" t="s">
        <v>600</v>
      </c>
      <c r="H36" s="10" t="s">
        <v>459</v>
      </c>
      <c r="I36" s="10" t="s">
        <v>601</v>
      </c>
      <c r="J36" s="10" t="s">
        <v>433</v>
      </c>
      <c r="K36" s="10" t="s">
        <v>47</v>
      </c>
      <c r="L36" s="10" t="s">
        <v>583</v>
      </c>
    </row>
    <row r="37" customFormat="false" ht="23.85" hidden="false" customHeight="false" outlineLevel="0" collapsed="false">
      <c r="A37" s="10" t="s">
        <v>434</v>
      </c>
      <c r="B37" s="10" t="s">
        <v>435</v>
      </c>
      <c r="C37" s="10" t="s">
        <v>602</v>
      </c>
      <c r="D37" s="10" t="s">
        <v>603</v>
      </c>
      <c r="E37" s="10" t="s">
        <v>598</v>
      </c>
      <c r="F37" s="10" t="s">
        <v>604</v>
      </c>
      <c r="G37" s="10" t="s">
        <v>600</v>
      </c>
      <c r="H37" s="10" t="s">
        <v>459</v>
      </c>
      <c r="I37" s="10" t="s">
        <v>601</v>
      </c>
      <c r="J37" s="10" t="s">
        <v>433</v>
      </c>
      <c r="K37" s="10" t="s">
        <v>47</v>
      </c>
      <c r="L37" s="10" t="s">
        <v>583</v>
      </c>
    </row>
    <row r="38" customFormat="false" ht="23.85" hidden="false" customHeight="false" outlineLevel="0" collapsed="false">
      <c r="A38" s="10" t="s">
        <v>436</v>
      </c>
      <c r="B38" s="10" t="s">
        <v>438</v>
      </c>
      <c r="C38" s="10" t="s">
        <v>605</v>
      </c>
      <c r="D38" s="10" t="s">
        <v>606</v>
      </c>
      <c r="E38" s="10" t="s">
        <v>607</v>
      </c>
      <c r="F38" s="10" t="s">
        <v>608</v>
      </c>
      <c r="G38" s="10" t="s">
        <v>609</v>
      </c>
      <c r="H38" s="10" t="s">
        <v>610</v>
      </c>
      <c r="I38" s="10" t="s">
        <v>611</v>
      </c>
      <c r="J38" s="10" t="s">
        <v>440</v>
      </c>
      <c r="K38" s="10" t="s">
        <v>47</v>
      </c>
      <c r="L38" s="10" t="s">
        <v>264</v>
      </c>
    </row>
    <row r="39" customFormat="false" ht="23.85" hidden="false" customHeight="false" outlineLevel="0" collapsed="false">
      <c r="A39" s="10" t="s">
        <v>442</v>
      </c>
      <c r="B39" s="10" t="s">
        <v>443</v>
      </c>
      <c r="C39" s="10" t="s">
        <v>612</v>
      </c>
      <c r="D39" s="10" t="s">
        <v>613</v>
      </c>
      <c r="E39" s="10" t="s">
        <v>607</v>
      </c>
      <c r="F39" s="10" t="s">
        <v>614</v>
      </c>
      <c r="G39" s="10" t="s">
        <v>615</v>
      </c>
      <c r="H39" s="10" t="s">
        <v>459</v>
      </c>
      <c r="I39" s="10" t="s">
        <v>616</v>
      </c>
      <c r="J39" s="10" t="s">
        <v>444</v>
      </c>
      <c r="K39" s="10" t="s">
        <v>47</v>
      </c>
      <c r="L39" s="10" t="s">
        <v>264</v>
      </c>
    </row>
  </sheetData>
  <autoFilter ref="A5:L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32"/>
    <col collapsed="false" customWidth="true" hidden="false" outlineLevel="0" max="4" min="4" style="0" width="14"/>
    <col collapsed="false" customWidth="true" hidden="false" outlineLevel="0" max="5" min="5" style="0" width="24"/>
    <col collapsed="false" customWidth="true" hidden="false" outlineLevel="0" max="6" min="6" style="0" width="34"/>
    <col collapsed="false" customWidth="true" hidden="false" outlineLevel="0" max="7" min="7" style="0" width="30"/>
    <col collapsed="false" customWidth="true" hidden="false" outlineLevel="0" max="8" min="8" style="0" width="12"/>
    <col collapsed="false" customWidth="true" hidden="false" outlineLevel="0" max="9" min="9" style="0" width="13"/>
    <col collapsed="false" customWidth="true" hidden="false" outlineLevel="0" max="10" min="10" style="0" width="16"/>
    <col collapsed="false" customWidth="true" hidden="false" outlineLevel="0" max="11" min="11" style="0" width="18"/>
    <col collapsed="false" customWidth="true" hidden="false" outlineLevel="0" max="12" min="12" style="0" width="34"/>
  </cols>
  <sheetData>
    <row r="1" customFormat="false" ht="17.35" hidden="false" customHeight="false" outlineLevel="0" collapsed="false">
      <c r="A1" s="7" t="s">
        <v>60</v>
      </c>
    </row>
    <row r="2" customFormat="false" ht="15" hidden="false" customHeight="false" outlineLevel="0" collapsed="false">
      <c r="A2" s="8" t="s">
        <v>617</v>
      </c>
    </row>
    <row r="3" customFormat="false" ht="15" hidden="false" customHeight="false" outlineLevel="0" collapsed="false">
      <c r="A3" s="3" t="s">
        <v>62</v>
      </c>
    </row>
    <row r="5" customFormat="false" ht="31.5" hidden="false" customHeight="true" outlineLevel="0" collapsed="false">
      <c r="A5" s="9" t="s">
        <v>618</v>
      </c>
      <c r="B5" s="9" t="s">
        <v>619</v>
      </c>
      <c r="C5" s="9" t="s">
        <v>620</v>
      </c>
      <c r="D5" s="9" t="s">
        <v>621</v>
      </c>
      <c r="E5" s="9" t="s">
        <v>622</v>
      </c>
      <c r="F5" s="9" t="s">
        <v>623</v>
      </c>
      <c r="G5" s="9" t="s">
        <v>624</v>
      </c>
      <c r="H5" s="9" t="s">
        <v>625</v>
      </c>
      <c r="I5" s="9" t="s">
        <v>626</v>
      </c>
      <c r="J5" s="9" t="s">
        <v>627</v>
      </c>
      <c r="K5" s="9" t="s">
        <v>628</v>
      </c>
      <c r="L5" s="9" t="s">
        <v>629</v>
      </c>
    </row>
    <row r="6" customFormat="false" ht="15" hidden="false" customHeight="false" outlineLevel="0" collapsed="false">
      <c r="A6" s="10" t="s">
        <v>630</v>
      </c>
      <c r="B6" s="10" t="s">
        <v>631</v>
      </c>
      <c r="C6" s="10" t="s">
        <v>632</v>
      </c>
      <c r="D6" s="10" t="s">
        <v>633</v>
      </c>
      <c r="E6" s="10" t="s">
        <v>634</v>
      </c>
      <c r="F6" s="10" t="s">
        <v>635</v>
      </c>
      <c r="G6" s="10" t="s">
        <v>636</v>
      </c>
      <c r="H6" s="10" t="s">
        <v>388</v>
      </c>
      <c r="I6" s="10" t="s">
        <v>388</v>
      </c>
      <c r="J6" s="11"/>
      <c r="K6" s="11"/>
      <c r="L6" s="11"/>
    </row>
    <row r="7" customFormat="false" ht="15" hidden="false" customHeight="false" outlineLevel="0" collapsed="false">
      <c r="A7" s="10" t="s">
        <v>637</v>
      </c>
      <c r="B7" s="10" t="s">
        <v>631</v>
      </c>
      <c r="C7" s="10" t="s">
        <v>638</v>
      </c>
      <c r="D7" s="10" t="s">
        <v>639</v>
      </c>
      <c r="E7" s="10" t="s">
        <v>634</v>
      </c>
      <c r="F7" s="10" t="s">
        <v>635</v>
      </c>
      <c r="G7" s="10" t="s">
        <v>640</v>
      </c>
      <c r="H7" s="10" t="s">
        <v>388</v>
      </c>
      <c r="I7" s="10" t="s">
        <v>388</v>
      </c>
      <c r="J7" s="11"/>
      <c r="K7" s="11"/>
      <c r="L7" s="11"/>
    </row>
    <row r="8" customFormat="false" ht="15" hidden="false" customHeight="false" outlineLevel="0" collapsed="false">
      <c r="A8" s="10" t="s">
        <v>641</v>
      </c>
      <c r="B8" s="10" t="s">
        <v>631</v>
      </c>
      <c r="C8" s="10" t="s">
        <v>642</v>
      </c>
      <c r="D8" s="10" t="s">
        <v>643</v>
      </c>
      <c r="E8" s="10" t="s">
        <v>644</v>
      </c>
      <c r="F8" s="10" t="s">
        <v>635</v>
      </c>
      <c r="G8" s="10" t="s">
        <v>640</v>
      </c>
      <c r="H8" s="10" t="s">
        <v>388</v>
      </c>
      <c r="I8" s="10" t="s">
        <v>388</v>
      </c>
      <c r="J8" s="11"/>
      <c r="K8" s="11"/>
      <c r="L8" s="11"/>
    </row>
    <row r="9" customFormat="false" ht="15" hidden="false" customHeight="false" outlineLevel="0" collapsed="false">
      <c r="A9" s="10" t="s">
        <v>645</v>
      </c>
      <c r="B9" s="10" t="s">
        <v>631</v>
      </c>
      <c r="C9" s="10" t="s">
        <v>646</v>
      </c>
      <c r="D9" s="10" t="s">
        <v>633</v>
      </c>
      <c r="E9" s="10" t="s">
        <v>647</v>
      </c>
      <c r="F9" s="10" t="s">
        <v>635</v>
      </c>
      <c r="G9" s="10" t="s">
        <v>640</v>
      </c>
      <c r="H9" s="10" t="s">
        <v>388</v>
      </c>
      <c r="I9" s="10" t="s">
        <v>388</v>
      </c>
      <c r="J9" s="11"/>
      <c r="K9" s="11"/>
      <c r="L9" s="11"/>
    </row>
    <row r="10" customFormat="false" ht="15" hidden="false" customHeight="false" outlineLevel="0" collapsed="false">
      <c r="A10" s="10" t="s">
        <v>648</v>
      </c>
      <c r="B10" s="10" t="s">
        <v>631</v>
      </c>
      <c r="C10" s="10" t="s">
        <v>649</v>
      </c>
      <c r="D10" s="10" t="s">
        <v>650</v>
      </c>
      <c r="E10" s="10" t="s">
        <v>634</v>
      </c>
      <c r="F10" s="10" t="s">
        <v>635</v>
      </c>
      <c r="G10" s="10" t="s">
        <v>640</v>
      </c>
      <c r="H10" s="10" t="s">
        <v>388</v>
      </c>
      <c r="I10" s="10" t="s">
        <v>388</v>
      </c>
      <c r="J10" s="11"/>
      <c r="K10" s="11"/>
      <c r="L10" s="11"/>
    </row>
    <row r="11" customFormat="false" ht="15" hidden="false" customHeight="false" outlineLevel="0" collapsed="false">
      <c r="A11" s="10" t="s">
        <v>651</v>
      </c>
      <c r="B11" s="10" t="s">
        <v>631</v>
      </c>
      <c r="C11" s="10" t="s">
        <v>652</v>
      </c>
      <c r="D11" s="10" t="s">
        <v>643</v>
      </c>
      <c r="E11" s="10" t="s">
        <v>634</v>
      </c>
      <c r="F11" s="10" t="s">
        <v>653</v>
      </c>
      <c r="G11" s="10" t="s">
        <v>640</v>
      </c>
      <c r="H11" s="10" t="s">
        <v>388</v>
      </c>
      <c r="I11" s="10" t="s">
        <v>388</v>
      </c>
      <c r="J11" s="11"/>
      <c r="K11" s="11"/>
      <c r="L11" s="11"/>
    </row>
    <row r="12" customFormat="false" ht="15" hidden="false" customHeight="false" outlineLevel="0" collapsed="false">
      <c r="A12" s="10" t="s">
        <v>654</v>
      </c>
      <c r="B12" s="10" t="s">
        <v>655</v>
      </c>
      <c r="C12" s="10" t="s">
        <v>656</v>
      </c>
      <c r="D12" s="10" t="s">
        <v>657</v>
      </c>
      <c r="E12" s="10" t="s">
        <v>634</v>
      </c>
      <c r="F12" s="10" t="s">
        <v>635</v>
      </c>
      <c r="G12" s="10" t="s">
        <v>658</v>
      </c>
      <c r="H12" s="10" t="s">
        <v>388</v>
      </c>
      <c r="I12" s="10" t="s">
        <v>388</v>
      </c>
      <c r="J12" s="11"/>
      <c r="K12" s="11"/>
      <c r="L12" s="11"/>
    </row>
    <row r="13" customFormat="false" ht="15" hidden="false" customHeight="false" outlineLevel="0" collapsed="false">
      <c r="A13" s="10" t="s">
        <v>659</v>
      </c>
      <c r="B13" s="10" t="s">
        <v>655</v>
      </c>
      <c r="C13" s="10" t="s">
        <v>660</v>
      </c>
      <c r="D13" s="10" t="s">
        <v>661</v>
      </c>
      <c r="E13" s="10" t="s">
        <v>662</v>
      </c>
      <c r="F13" s="10" t="s">
        <v>635</v>
      </c>
      <c r="G13" s="10" t="s">
        <v>640</v>
      </c>
      <c r="H13" s="10" t="s">
        <v>388</v>
      </c>
      <c r="I13" s="10" t="s">
        <v>388</v>
      </c>
      <c r="J13" s="11"/>
      <c r="K13" s="11"/>
      <c r="L13" s="11"/>
    </row>
    <row r="14" customFormat="false" ht="23.85" hidden="false" customHeight="false" outlineLevel="0" collapsed="false">
      <c r="A14" s="10" t="s">
        <v>663</v>
      </c>
      <c r="B14" s="10" t="s">
        <v>655</v>
      </c>
      <c r="C14" s="10" t="s">
        <v>664</v>
      </c>
      <c r="D14" s="10" t="s">
        <v>665</v>
      </c>
      <c r="E14" s="10" t="s">
        <v>666</v>
      </c>
      <c r="F14" s="10" t="s">
        <v>635</v>
      </c>
      <c r="G14" s="10" t="s">
        <v>640</v>
      </c>
      <c r="H14" s="10" t="s">
        <v>388</v>
      </c>
      <c r="I14" s="10" t="s">
        <v>84</v>
      </c>
      <c r="J14" s="11"/>
      <c r="K14" s="11"/>
      <c r="L14" s="11"/>
    </row>
    <row r="15" customFormat="false" ht="23.85" hidden="false" customHeight="false" outlineLevel="0" collapsed="false">
      <c r="A15" s="10" t="s">
        <v>667</v>
      </c>
      <c r="B15" s="10" t="s">
        <v>668</v>
      </c>
      <c r="C15" s="10" t="s">
        <v>669</v>
      </c>
      <c r="D15" s="10" t="s">
        <v>670</v>
      </c>
      <c r="E15" s="10" t="s">
        <v>634</v>
      </c>
      <c r="F15" s="10" t="s">
        <v>671</v>
      </c>
      <c r="G15" s="10" t="s">
        <v>672</v>
      </c>
      <c r="H15" s="10" t="s">
        <v>84</v>
      </c>
      <c r="I15" s="10" t="s">
        <v>388</v>
      </c>
      <c r="J15" s="11"/>
      <c r="K15" s="11"/>
      <c r="L15" s="11"/>
    </row>
    <row r="16" customFormat="false" ht="23.85" hidden="false" customHeight="false" outlineLevel="0" collapsed="false">
      <c r="A16" s="10" t="s">
        <v>673</v>
      </c>
      <c r="B16" s="10" t="s">
        <v>668</v>
      </c>
      <c r="C16" s="10" t="s">
        <v>674</v>
      </c>
      <c r="D16" s="10" t="s">
        <v>675</v>
      </c>
      <c r="E16" s="10" t="s">
        <v>634</v>
      </c>
      <c r="F16" s="10" t="s">
        <v>671</v>
      </c>
      <c r="G16" s="10" t="s">
        <v>672</v>
      </c>
      <c r="H16" s="10" t="s">
        <v>84</v>
      </c>
      <c r="I16" s="10" t="s">
        <v>388</v>
      </c>
      <c r="J16" s="11"/>
      <c r="K16" s="11"/>
      <c r="L16" s="11"/>
    </row>
    <row r="17" customFormat="false" ht="23.85" hidden="false" customHeight="false" outlineLevel="0" collapsed="false">
      <c r="A17" s="10" t="s">
        <v>676</v>
      </c>
      <c r="B17" s="10" t="s">
        <v>668</v>
      </c>
      <c r="C17" s="10" t="s">
        <v>677</v>
      </c>
      <c r="D17" s="10" t="s">
        <v>678</v>
      </c>
      <c r="E17" s="10" t="s">
        <v>679</v>
      </c>
      <c r="F17" s="10" t="s">
        <v>671</v>
      </c>
      <c r="G17" s="10" t="s">
        <v>672</v>
      </c>
      <c r="H17" s="10" t="s">
        <v>84</v>
      </c>
      <c r="I17" s="10" t="s">
        <v>388</v>
      </c>
      <c r="J17" s="11"/>
      <c r="K17" s="11"/>
      <c r="L17" s="11"/>
    </row>
    <row r="18" customFormat="false" ht="23.85" hidden="false" customHeight="false" outlineLevel="0" collapsed="false">
      <c r="A18" s="10" t="s">
        <v>680</v>
      </c>
      <c r="B18" s="10" t="s">
        <v>668</v>
      </c>
      <c r="C18" s="10" t="s">
        <v>681</v>
      </c>
      <c r="D18" s="10" t="s">
        <v>682</v>
      </c>
      <c r="E18" s="10" t="s">
        <v>634</v>
      </c>
      <c r="F18" s="10" t="s">
        <v>671</v>
      </c>
      <c r="G18" s="10" t="s">
        <v>672</v>
      </c>
      <c r="H18" s="10" t="s">
        <v>84</v>
      </c>
      <c r="I18" s="10" t="s">
        <v>388</v>
      </c>
      <c r="J18" s="11"/>
      <c r="K18" s="11"/>
      <c r="L18" s="11"/>
    </row>
    <row r="19" customFormat="false" ht="23.85" hidden="false" customHeight="false" outlineLevel="0" collapsed="false">
      <c r="A19" s="10" t="s">
        <v>683</v>
      </c>
      <c r="B19" s="10" t="s">
        <v>684</v>
      </c>
      <c r="C19" s="10" t="s">
        <v>685</v>
      </c>
      <c r="D19" s="10" t="s">
        <v>657</v>
      </c>
      <c r="E19" s="10" t="s">
        <v>634</v>
      </c>
      <c r="F19" s="10" t="s">
        <v>686</v>
      </c>
      <c r="G19" s="10" t="s">
        <v>640</v>
      </c>
      <c r="H19" s="10" t="s">
        <v>84</v>
      </c>
      <c r="I19" s="10" t="s">
        <v>388</v>
      </c>
      <c r="J19" s="11"/>
      <c r="K19" s="11"/>
      <c r="L19" s="11"/>
    </row>
    <row r="20" customFormat="false" ht="23.85" hidden="false" customHeight="false" outlineLevel="0" collapsed="false">
      <c r="A20" s="10" t="s">
        <v>687</v>
      </c>
      <c r="B20" s="10" t="s">
        <v>684</v>
      </c>
      <c r="C20" s="10" t="s">
        <v>688</v>
      </c>
      <c r="D20" s="10" t="s">
        <v>689</v>
      </c>
      <c r="E20" s="10" t="s">
        <v>634</v>
      </c>
      <c r="F20" s="10" t="s">
        <v>686</v>
      </c>
      <c r="G20" s="10" t="s">
        <v>640</v>
      </c>
      <c r="H20" s="10" t="s">
        <v>84</v>
      </c>
      <c r="I20" s="10" t="s">
        <v>388</v>
      </c>
      <c r="J20" s="11"/>
      <c r="K20" s="11"/>
      <c r="L20" s="11"/>
    </row>
    <row r="21" customFormat="false" ht="23.85" hidden="false" customHeight="false" outlineLevel="0" collapsed="false">
      <c r="A21" s="10" t="s">
        <v>690</v>
      </c>
      <c r="B21" s="10" t="s">
        <v>684</v>
      </c>
      <c r="C21" s="10" t="s">
        <v>691</v>
      </c>
      <c r="D21" s="10" t="s">
        <v>692</v>
      </c>
      <c r="E21" s="10" t="s">
        <v>693</v>
      </c>
      <c r="F21" s="10" t="s">
        <v>694</v>
      </c>
      <c r="G21" s="10" t="s">
        <v>640</v>
      </c>
      <c r="H21" s="10" t="s">
        <v>84</v>
      </c>
      <c r="I21" s="10" t="s">
        <v>388</v>
      </c>
      <c r="J21" s="11"/>
      <c r="K21" s="11"/>
      <c r="L21" s="11"/>
    </row>
    <row r="22" customFormat="false" ht="23.85" hidden="false" customHeight="false" outlineLevel="0" collapsed="false">
      <c r="A22" s="10" t="s">
        <v>695</v>
      </c>
      <c r="B22" s="10" t="s">
        <v>684</v>
      </c>
      <c r="C22" s="10" t="s">
        <v>696</v>
      </c>
      <c r="D22" s="10" t="s">
        <v>697</v>
      </c>
      <c r="E22" s="10" t="s">
        <v>634</v>
      </c>
      <c r="F22" s="10" t="s">
        <v>694</v>
      </c>
      <c r="G22" s="10" t="s">
        <v>698</v>
      </c>
      <c r="H22" s="10" t="s">
        <v>84</v>
      </c>
      <c r="I22" s="10" t="s">
        <v>388</v>
      </c>
      <c r="J22" s="11"/>
      <c r="K22" s="11"/>
      <c r="L22" s="11"/>
    </row>
    <row r="23" customFormat="false" ht="15" hidden="false" customHeight="false" outlineLevel="0" collapsed="false">
      <c r="A23" s="10" t="s">
        <v>699</v>
      </c>
      <c r="B23" s="10" t="s">
        <v>700</v>
      </c>
      <c r="C23" s="10" t="s">
        <v>701</v>
      </c>
      <c r="D23" s="10" t="s">
        <v>702</v>
      </c>
      <c r="E23" s="10" t="s">
        <v>634</v>
      </c>
      <c r="F23" s="10" t="s">
        <v>703</v>
      </c>
      <c r="G23" s="10" t="s">
        <v>704</v>
      </c>
      <c r="H23" s="10" t="s">
        <v>388</v>
      </c>
      <c r="I23" s="10" t="s">
        <v>388</v>
      </c>
      <c r="J23" s="11"/>
      <c r="K23" s="11"/>
      <c r="L23" s="11"/>
    </row>
    <row r="24" customFormat="false" ht="15" hidden="false" customHeight="false" outlineLevel="0" collapsed="false">
      <c r="A24" s="10" t="s">
        <v>705</v>
      </c>
      <c r="B24" s="10" t="s">
        <v>700</v>
      </c>
      <c r="C24" s="10" t="s">
        <v>706</v>
      </c>
      <c r="D24" s="10" t="s">
        <v>692</v>
      </c>
      <c r="E24" s="10" t="s">
        <v>634</v>
      </c>
      <c r="F24" s="10" t="s">
        <v>703</v>
      </c>
      <c r="G24" s="10" t="s">
        <v>707</v>
      </c>
      <c r="H24" s="10" t="s">
        <v>388</v>
      </c>
      <c r="I24" s="10" t="s">
        <v>388</v>
      </c>
      <c r="J24" s="11"/>
      <c r="K24" s="11"/>
      <c r="L24" s="11"/>
    </row>
    <row r="25" customFormat="false" ht="15" hidden="false" customHeight="false" outlineLevel="0" collapsed="false">
      <c r="A25" s="10" t="s">
        <v>708</v>
      </c>
      <c r="B25" s="10" t="s">
        <v>700</v>
      </c>
      <c r="C25" s="10" t="s">
        <v>709</v>
      </c>
      <c r="D25" s="10" t="s">
        <v>657</v>
      </c>
      <c r="E25" s="10" t="s">
        <v>634</v>
      </c>
      <c r="F25" s="10" t="s">
        <v>710</v>
      </c>
      <c r="G25" s="10" t="s">
        <v>711</v>
      </c>
      <c r="H25" s="10" t="s">
        <v>388</v>
      </c>
      <c r="I25" s="10" t="s">
        <v>388</v>
      </c>
      <c r="J25" s="11"/>
      <c r="K25" s="11"/>
      <c r="L25" s="11"/>
    </row>
    <row r="26" customFormat="false" ht="23.85" hidden="false" customHeight="false" outlineLevel="0" collapsed="false">
      <c r="A26" s="10" t="s">
        <v>712</v>
      </c>
      <c r="B26" s="10" t="s">
        <v>713</v>
      </c>
      <c r="C26" s="10" t="s">
        <v>714</v>
      </c>
      <c r="D26" s="10" t="s">
        <v>715</v>
      </c>
      <c r="E26" s="10" t="s">
        <v>716</v>
      </c>
      <c r="F26" s="10" t="s">
        <v>536</v>
      </c>
      <c r="G26" s="10" t="s">
        <v>717</v>
      </c>
      <c r="H26" s="10" t="s">
        <v>84</v>
      </c>
      <c r="I26" s="10" t="s">
        <v>388</v>
      </c>
      <c r="J26" s="11"/>
      <c r="K26" s="11"/>
      <c r="L26" s="11"/>
    </row>
    <row r="27" customFormat="false" ht="23.85" hidden="false" customHeight="false" outlineLevel="0" collapsed="false">
      <c r="A27" s="10" t="s">
        <v>718</v>
      </c>
      <c r="B27" s="10" t="s">
        <v>713</v>
      </c>
      <c r="C27" s="10" t="s">
        <v>719</v>
      </c>
      <c r="D27" s="10" t="s">
        <v>715</v>
      </c>
      <c r="E27" s="10" t="s">
        <v>716</v>
      </c>
      <c r="F27" s="10" t="s">
        <v>536</v>
      </c>
      <c r="G27" s="10" t="s">
        <v>717</v>
      </c>
      <c r="H27" s="10" t="s">
        <v>84</v>
      </c>
      <c r="I27" s="10" t="s">
        <v>388</v>
      </c>
      <c r="J27" s="11"/>
      <c r="K27" s="11"/>
      <c r="L27" s="11"/>
    </row>
    <row r="28" customFormat="false" ht="23.85" hidden="false" customHeight="false" outlineLevel="0" collapsed="false">
      <c r="A28" s="10" t="s">
        <v>720</v>
      </c>
      <c r="B28" s="10" t="s">
        <v>713</v>
      </c>
      <c r="C28" s="10" t="s">
        <v>721</v>
      </c>
      <c r="D28" s="10" t="s">
        <v>715</v>
      </c>
      <c r="E28" s="10" t="s">
        <v>716</v>
      </c>
      <c r="F28" s="10" t="s">
        <v>536</v>
      </c>
      <c r="G28" s="10" t="s">
        <v>717</v>
      </c>
      <c r="H28" s="10" t="s">
        <v>84</v>
      </c>
      <c r="I28" s="10" t="s">
        <v>388</v>
      </c>
      <c r="J28" s="11"/>
      <c r="K28" s="11"/>
      <c r="L28" s="11"/>
    </row>
    <row r="30" customFormat="false" ht="25.5" hidden="false" customHeight="true" outlineLevel="0" collapsed="false">
      <c r="A30" s="27" t="s">
        <v>722</v>
      </c>
    </row>
    <row r="32" customFormat="false" ht="25.5" hidden="false" customHeight="true" outlineLevel="0" collapsed="false">
      <c r="A32" s="27" t="s">
        <v>723</v>
      </c>
    </row>
    <row r="34" customFormat="false" ht="25.5" hidden="false" customHeight="true" outlineLevel="0" collapsed="false">
      <c r="A34" s="27" t="s">
        <v>724</v>
      </c>
    </row>
    <row r="36" customFormat="false" ht="25.5" hidden="false" customHeight="true" outlineLevel="0" collapsed="false">
      <c r="A36" s="27" t="s">
        <v>725</v>
      </c>
    </row>
    <row r="38" customFormat="false" ht="25.5" hidden="false" customHeight="true" outlineLevel="0" collapsed="false">
      <c r="A38" s="27" t="s">
        <v>726</v>
      </c>
    </row>
  </sheetData>
  <dataValidations count="1">
    <dataValidation allowBlank="true" errorStyle="stop" operator="between" showDropDown="false" showErrorMessage="false" showInputMessage="false" sqref="J6:K2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4" min="3" style="0" width="20"/>
    <col collapsed="false" customWidth="true" hidden="false" outlineLevel="0" max="5" min="5" style="0" width="12"/>
    <col collapsed="false" customWidth="true" hidden="false" outlineLevel="0" max="6" min="6" style="0" width="22"/>
  </cols>
  <sheetData>
    <row r="1" customFormat="false" ht="17.35" hidden="false" customHeight="false" outlineLevel="0" collapsed="false">
      <c r="A1" s="7" t="s">
        <v>60</v>
      </c>
    </row>
    <row r="2" customFormat="false" ht="15" hidden="false" customHeight="false" outlineLevel="0" collapsed="false">
      <c r="A2" s="8" t="s">
        <v>727</v>
      </c>
    </row>
    <row r="3" customFormat="false" ht="15" hidden="false" customHeight="false" outlineLevel="0" collapsed="false">
      <c r="A3" s="3" t="s">
        <v>62</v>
      </c>
    </row>
    <row r="5" customFormat="false" ht="31.5" hidden="false" customHeight="true" outlineLevel="0" collapsed="false">
      <c r="A5" s="9" t="s">
        <v>728</v>
      </c>
      <c r="B5" s="9" t="s">
        <v>729</v>
      </c>
      <c r="C5" s="9" t="s">
        <v>730</v>
      </c>
      <c r="D5" s="9" t="s">
        <v>448</v>
      </c>
      <c r="E5" s="9" t="s">
        <v>731</v>
      </c>
      <c r="F5" s="9" t="s">
        <v>732</v>
      </c>
    </row>
    <row r="6" customFormat="false" ht="23.85" hidden="false" customHeight="false" outlineLevel="0" collapsed="false">
      <c r="A6" s="10" t="s">
        <v>733</v>
      </c>
      <c r="B6" s="28" t="s">
        <v>734</v>
      </c>
      <c r="C6" s="29" t="n">
        <f aca="false">COUNTA(01_Country_Register!$A$6:$A$105)</f>
        <v>6</v>
      </c>
      <c r="D6" s="30" t="s">
        <v>735</v>
      </c>
      <c r="E6" s="31" t="n">
        <f aca="false">IFERROR(C6/D6,"")</f>
        <v>1</v>
      </c>
      <c r="F6" s="32" t="s">
        <v>736</v>
      </c>
    </row>
    <row r="7" customFormat="false" ht="23.85" hidden="false" customHeight="false" outlineLevel="0" collapsed="false">
      <c r="A7" s="10" t="s">
        <v>737</v>
      </c>
      <c r="B7" s="28" t="s">
        <v>738</v>
      </c>
      <c r="C7" s="29" t="n">
        <f aca="false">SUMPRODUCT((COUNTIFS(03_Progress_Tracker!$B$6:$B$191,01_Country_Register!$A$6:$A$11,03_Progress_Tracker!$E$6:$E$191,"P1 Governance and inception",03_Progress_Tracker!$I$6:$I$191,"C")=6)*1)</f>
        <v>0</v>
      </c>
      <c r="D7" s="30" t="s">
        <v>735</v>
      </c>
      <c r="E7" s="31" t="n">
        <f aca="false">IFERROR(C7/D7,"")</f>
        <v>0</v>
      </c>
      <c r="F7" s="32" t="s">
        <v>736</v>
      </c>
    </row>
    <row r="8" customFormat="false" ht="23.85" hidden="false" customHeight="false" outlineLevel="0" collapsed="false">
      <c r="A8" s="10" t="s">
        <v>739</v>
      </c>
      <c r="B8" s="28" t="s">
        <v>740</v>
      </c>
      <c r="C8" s="29" t="n">
        <f aca="false">COUNTIFS(03_Progress_Tracker!$D$6:$D$191,"M14",03_Progress_Tracker!$I$6:$I$191,"C")</f>
        <v>3</v>
      </c>
      <c r="D8" s="30" t="s">
        <v>735</v>
      </c>
      <c r="E8" s="31" t="n">
        <f aca="false">IFERROR(C8/D8,"")</f>
        <v>0.5</v>
      </c>
      <c r="F8" s="32" t="s">
        <v>736</v>
      </c>
    </row>
    <row r="9" customFormat="false" ht="23.85" hidden="false" customHeight="false" outlineLevel="0" collapsed="false">
      <c r="A9" s="10" t="s">
        <v>741</v>
      </c>
      <c r="B9" s="28" t="s">
        <v>742</v>
      </c>
      <c r="C9" s="29" t="n">
        <f aca="false">COUNTIFS(03_Progress_Tracker!$D$6:$D$191,"M16",03_Progress_Tracker!$I$6:$I$191,"C")</f>
        <v>2</v>
      </c>
      <c r="D9" s="30" t="s">
        <v>735</v>
      </c>
      <c r="E9" s="31" t="n">
        <f aca="false">IFERROR(C9/D9,"")</f>
        <v>0.333333333333333</v>
      </c>
      <c r="F9" s="32" t="s">
        <v>736</v>
      </c>
    </row>
    <row r="10" customFormat="false" ht="23.85" hidden="false" customHeight="false" outlineLevel="0" collapsed="false">
      <c r="A10" s="10" t="s">
        <v>743</v>
      </c>
      <c r="B10" s="28" t="s">
        <v>744</v>
      </c>
      <c r="C10" s="29" t="n">
        <f aca="false">COUNTIFS(03_Progress_Tracker!$D$6:$D$191,"M18",03_Progress_Tracker!$I$6:$I$191,"C")</f>
        <v>2</v>
      </c>
      <c r="D10" s="30" t="s">
        <v>735</v>
      </c>
      <c r="E10" s="31" t="n">
        <f aca="false">IFERROR(C10/D10,"")</f>
        <v>0.333333333333333</v>
      </c>
      <c r="F10" s="32" t="s">
        <v>745</v>
      </c>
    </row>
    <row r="11" customFormat="false" ht="23.85" hidden="false" customHeight="false" outlineLevel="0" collapsed="false">
      <c r="A11" s="10" t="s">
        <v>746</v>
      </c>
      <c r="B11" s="28" t="s">
        <v>747</v>
      </c>
      <c r="C11" s="29" t="n">
        <f aca="false">COUNTIFS(03_Progress_Tracker!$D$6:$D$191,"M19",03_Progress_Tracker!$I$6:$I$191,"C")</f>
        <v>0</v>
      </c>
      <c r="D11" s="30" t="s">
        <v>735</v>
      </c>
      <c r="E11" s="31" t="n">
        <f aca="false">IFERROR(C11/D11,"")</f>
        <v>0</v>
      </c>
      <c r="F11" s="32" t="s">
        <v>748</v>
      </c>
    </row>
    <row r="12" customFormat="false" ht="23.85" hidden="false" customHeight="false" outlineLevel="0" collapsed="false">
      <c r="A12" s="10" t="s">
        <v>749</v>
      </c>
      <c r="B12" s="28" t="s">
        <v>750</v>
      </c>
      <c r="C12" s="29" t="n">
        <f aca="false">COUNTIFS(03_Progress_Tracker!$D$6:$D$191,"M26",03_Progress_Tracker!$I$6:$I$191,"C")</f>
        <v>0</v>
      </c>
      <c r="D12" s="30" t="s">
        <v>735</v>
      </c>
      <c r="E12" s="31" t="n">
        <f aca="false">IFERROR(C12/D12,"")</f>
        <v>0</v>
      </c>
      <c r="F12" s="32" t="s">
        <v>736</v>
      </c>
    </row>
    <row r="13" customFormat="false" ht="23.85" hidden="false" customHeight="false" outlineLevel="0" collapsed="false">
      <c r="A13" s="10" t="s">
        <v>751</v>
      </c>
      <c r="B13" s="28" t="s">
        <v>752</v>
      </c>
      <c r="C13" s="29" t="n">
        <f aca="false">COUNTIFS(03_Progress_Tracker!$D$6:$D$191,"M27",03_Progress_Tracker!$I$6:$I$191,"C")</f>
        <v>0</v>
      </c>
      <c r="D13" s="30" t="s">
        <v>735</v>
      </c>
      <c r="E13" s="31" t="n">
        <f aca="false">IFERROR(C13/D13,"")</f>
        <v>0</v>
      </c>
      <c r="F13" s="32" t="s">
        <v>753</v>
      </c>
    </row>
    <row r="14" customFormat="false" ht="23.85" hidden="false" customHeight="false" outlineLevel="0" collapsed="false">
      <c r="A14" s="10" t="s">
        <v>754</v>
      </c>
      <c r="B14" s="28" t="s">
        <v>755</v>
      </c>
      <c r="C14" s="29" t="n">
        <f aca="false">COUNTIFS(03_Progress_Tracker!$D$6:$D$191,"M28",03_Progress_Tracker!$I$6:$I$191,"C")</f>
        <v>0</v>
      </c>
      <c r="D14" s="30" t="s">
        <v>735</v>
      </c>
      <c r="E14" s="31" t="n">
        <f aca="false">IFERROR(C14/D14,"")</f>
        <v>0</v>
      </c>
      <c r="F14" s="32" t="s">
        <v>753</v>
      </c>
    </row>
    <row r="15" customFormat="false" ht="35.05" hidden="false" customHeight="false" outlineLevel="0" collapsed="false">
      <c r="A15" s="10" t="s">
        <v>756</v>
      </c>
      <c r="B15" s="28" t="s">
        <v>757</v>
      </c>
      <c r="C15" s="29" t="n">
        <f aca="false">COUNTIFS(03_Progress_Tracker!$D$6:$D$191,"M29",03_Progress_Tracker!$I$6:$I$191,"C")</f>
        <v>0</v>
      </c>
      <c r="D15" s="30" t="s">
        <v>735</v>
      </c>
      <c r="E15" s="31" t="n">
        <f aca="false">IFERROR(C15/D15,"")</f>
        <v>0</v>
      </c>
      <c r="F15" s="32" t="s">
        <v>758</v>
      </c>
    </row>
    <row r="16" customFormat="false" ht="23.85" hidden="false" customHeight="false" outlineLevel="0" collapsed="false">
      <c r="A16" s="10" t="s">
        <v>759</v>
      </c>
      <c r="B16" s="28" t="s">
        <v>760</v>
      </c>
      <c r="C16" s="29" t="n">
        <f aca="false">COUNTIF(03_Progress_Tracker!$I$6:$I$191,"C")</f>
        <v>36</v>
      </c>
      <c r="D16" s="30" t="n">
        <f aca="false">COUNTA(03_Progress_Tracker!$I$6:$I$191)</f>
        <v>186</v>
      </c>
      <c r="E16" s="31" t="n">
        <f aca="false">IFERROR(C16/D16,"")</f>
        <v>0.193548387096774</v>
      </c>
      <c r="F16" s="32" t="s">
        <v>736</v>
      </c>
    </row>
    <row r="17" customFormat="false" ht="23.85" hidden="false" customHeight="false" outlineLevel="0" collapsed="false">
      <c r="A17" s="10" t="s">
        <v>761</v>
      </c>
      <c r="B17" s="28" t="s">
        <v>762</v>
      </c>
      <c r="C17" s="29" t="n">
        <f aca="false">COUNTIF(03_Progress_Tracker!$I$6:$I$191,"D")</f>
        <v>2</v>
      </c>
      <c r="D17" s="30" t="n">
        <f aca="false">COUNTA(03_Progress_Tracker!$I$6:$I$191)</f>
        <v>186</v>
      </c>
      <c r="E17" s="31" t="n">
        <f aca="false">IFERROR(C17/D17,"")</f>
        <v>0.010752688172043</v>
      </c>
      <c r="F17" s="32" t="s">
        <v>736</v>
      </c>
    </row>
    <row r="18" customFormat="false" ht="23.85" hidden="false" customHeight="false" outlineLevel="0" collapsed="false">
      <c r="A18" s="10" t="s">
        <v>763</v>
      </c>
      <c r="B18" s="28" t="s">
        <v>764</v>
      </c>
      <c r="C18" s="29" t="n">
        <f aca="false">COUNTIFS(03_Progress_Tracker!$I$6:$I$191,"C",03_Progress_Tracker!$M$6:$M$191,"Yes")</f>
        <v>0</v>
      </c>
      <c r="D18" s="30" t="n">
        <f aca="false">COUNTIF(03_Progress_Tracker!$I$6:$I$191,"C")</f>
        <v>36</v>
      </c>
      <c r="E18" s="31" t="n">
        <f aca="false">IFERROR(C18/D18,"")</f>
        <v>0</v>
      </c>
      <c r="F18" s="32" t="s">
        <v>765</v>
      </c>
    </row>
    <row r="19" customFormat="false" ht="23.85" hidden="false" customHeight="false" outlineLevel="0" collapsed="false">
      <c r="A19" s="10" t="s">
        <v>766</v>
      </c>
      <c r="B19" s="28" t="s">
        <v>767</v>
      </c>
      <c r="C19" s="29" t="n">
        <f aca="false">COUNTIFS(09_Risk_Register!$H$6:$H$105,"&gt;=12",09_Risk_Register!$L$6:$L$105,"&lt;&gt;Closed")</f>
        <v>5</v>
      </c>
      <c r="D19" s="30"/>
      <c r="E19" s="31" t="str">
        <f aca="false">IFERROR(C19/D19,"")</f>
        <v/>
      </c>
      <c r="F19" s="32" t="s">
        <v>736</v>
      </c>
    </row>
    <row r="20" customFormat="false" ht="23.85" hidden="false" customHeight="false" outlineLevel="0" collapsed="false">
      <c r="A20" s="10" t="s">
        <v>768</v>
      </c>
      <c r="B20" s="28" t="s">
        <v>769</v>
      </c>
      <c r="C20" s="29" t="n">
        <f aca="false">COUNTIF(05_Results_Framework!$N$7:$N$210,"&lt;&gt;")</f>
        <v>0</v>
      </c>
      <c r="D20" s="30" t="n">
        <f aca="false">204</f>
        <v>204</v>
      </c>
      <c r="E20" s="31" t="n">
        <f aca="false">IFERROR(C20/D20,"")</f>
        <v>0</v>
      </c>
      <c r="F20" s="32" t="s">
        <v>770</v>
      </c>
    </row>
    <row r="23" customFormat="false" ht="15" hidden="false" customHeight="false" outlineLevel="0" collapsed="false">
      <c r="A23" s="8" t="s">
        <v>771</v>
      </c>
    </row>
    <row r="24" customFormat="false" ht="31.5" hidden="false" customHeight="true" outlineLevel="0" collapsed="false">
      <c r="A24" s="9" t="s">
        <v>277</v>
      </c>
      <c r="B24" s="9" t="s">
        <v>107</v>
      </c>
      <c r="C24" s="9" t="s">
        <v>306</v>
      </c>
      <c r="D24" s="9" t="s">
        <v>307</v>
      </c>
      <c r="E24" s="9" t="s">
        <v>772</v>
      </c>
      <c r="F24" s="9" t="s">
        <v>773</v>
      </c>
    </row>
    <row r="25" customFormat="false" ht="15" hidden="false" customHeight="false" outlineLevel="0" collapsed="false">
      <c r="A25" s="10" t="s">
        <v>78</v>
      </c>
      <c r="B25" s="10" t="str">
        <f aca="false">01_Country_Register!K6</f>
        <v>P3 Data collection</v>
      </c>
      <c r="C25" s="33" t="n">
        <f aca="false">04_Matrix_View!D42</f>
        <v>0.225806451612903</v>
      </c>
      <c r="D25" s="33" t="n">
        <f aca="false">04_Matrix_View!D43</f>
        <v>0.241935483870968</v>
      </c>
      <c r="E25" s="14" t="n">
        <f aca="false">COUNTIFS(09_Risk_Register!$C$6:$C$105,$A25,09_Risk_Register!$L$6:$L$105,"&lt;&gt;Closed")</f>
        <v>1</v>
      </c>
      <c r="F25" s="14" t="n">
        <f aca="false">IFERROR(SUMPRODUCT(MAX((09_Risk_Register!$C$6:$C$105=$A25)*IF(09_Risk_Register!$H$6:$H$105="",0,09_Risk_Register!$H$6:$H$105))),"")</f>
        <v>9</v>
      </c>
    </row>
    <row r="26" customFormat="false" ht="15" hidden="false" customHeight="false" outlineLevel="0" collapsed="false">
      <c r="A26" s="10" t="s">
        <v>86</v>
      </c>
      <c r="B26" s="10" t="str">
        <f aca="false">01_Country_Register!K7</f>
        <v>P2 Preparation</v>
      </c>
      <c r="C26" s="33" t="n">
        <f aca="false">04_Matrix_View!E42</f>
        <v>0.0967741935483871</v>
      </c>
      <c r="D26" s="33" t="n">
        <f aca="false">04_Matrix_View!E43</f>
        <v>0.129032258064516</v>
      </c>
      <c r="E26" s="14" t="n">
        <f aca="false">COUNTIFS(09_Risk_Register!$C$6:$C$105,$A26,09_Risk_Register!$L$6:$L$105,"&lt;&gt;Closed")</f>
        <v>1</v>
      </c>
      <c r="F26" s="14" t="n">
        <f aca="false">IFERROR(SUMPRODUCT(MAX((09_Risk_Register!$C$6:$C$105=$A26)*IF(09_Risk_Register!$H$6:$H$105="",0,09_Risk_Register!$H$6:$H$105))),"")</f>
        <v>16</v>
      </c>
    </row>
    <row r="27" customFormat="false" ht="15" hidden="false" customHeight="false" outlineLevel="0" collapsed="false">
      <c r="A27" s="10" t="s">
        <v>90</v>
      </c>
      <c r="B27" s="10" t="str">
        <f aca="false">01_Country_Register!K8</f>
        <v>P4 Data management and analysis</v>
      </c>
      <c r="C27" s="33" t="n">
        <f aca="false">04_Matrix_View!F42</f>
        <v>0.290322580645161</v>
      </c>
      <c r="D27" s="33" t="n">
        <f aca="false">04_Matrix_View!F43</f>
        <v>0.32258064516129</v>
      </c>
      <c r="E27" s="14" t="n">
        <f aca="false">COUNTIFS(09_Risk_Register!$C$6:$C$105,$A27,09_Risk_Register!$L$6:$L$105,"&lt;&gt;Closed")</f>
        <v>1</v>
      </c>
      <c r="F27" s="14" t="n">
        <f aca="false">IFERROR(SUMPRODUCT(MAX((09_Risk_Register!$C$6:$C$105=$A27)*IF(09_Risk_Register!$H$6:$H$105="",0,09_Risk_Register!$H$6:$H$105))),"")</f>
        <v>9</v>
      </c>
    </row>
    <row r="28" customFormat="false" ht="15" hidden="false" customHeight="false" outlineLevel="0" collapsed="false">
      <c r="A28" s="10" t="s">
        <v>94</v>
      </c>
      <c r="B28" s="10" t="str">
        <f aca="false">01_Country_Register!K9</f>
        <v>P4 Data management and analysis</v>
      </c>
      <c r="C28" s="33" t="n">
        <f aca="false">04_Matrix_View!G42</f>
        <v>0.387096774193548</v>
      </c>
      <c r="D28" s="33" t="n">
        <f aca="false">04_Matrix_View!G43</f>
        <v>0.403225806451613</v>
      </c>
      <c r="E28" s="14" t="n">
        <f aca="false">COUNTIFS(09_Risk_Register!$C$6:$C$105,$A28,09_Risk_Register!$L$6:$L$105,"&lt;&gt;Closed")</f>
        <v>1</v>
      </c>
      <c r="F28" s="14" t="n">
        <f aca="false">IFERROR(SUMPRODUCT(MAX((09_Risk_Register!$C$6:$C$105=$A28)*IF(09_Risk_Register!$H$6:$H$105="",0,09_Risk_Register!$H$6:$H$105))),"")</f>
        <v>16</v>
      </c>
    </row>
    <row r="29" customFormat="false" ht="15" hidden="false" customHeight="false" outlineLevel="0" collapsed="false">
      <c r="A29" s="10" t="s">
        <v>97</v>
      </c>
      <c r="B29" s="10" t="str">
        <f aca="false">01_Country_Register!K10</f>
        <v>P2 Preparation</v>
      </c>
      <c r="C29" s="33" t="n">
        <f aca="false">04_Matrix_View!H42</f>
        <v>0.0967741935483871</v>
      </c>
      <c r="D29" s="33" t="n">
        <f aca="false">04_Matrix_View!H43</f>
        <v>0.145161290322581</v>
      </c>
      <c r="E29" s="14" t="n">
        <f aca="false">COUNTIFS(09_Risk_Register!$C$6:$C$105,$A29,09_Risk_Register!$L$6:$L$105,"&lt;&gt;Closed")</f>
        <v>1</v>
      </c>
      <c r="F29" s="14" t="n">
        <f aca="false">IFERROR(SUMPRODUCT(MAX((09_Risk_Register!$C$6:$C$105=$A29)*IF(09_Risk_Register!$H$6:$H$105="",0,09_Risk_Register!$H$6:$H$105))),"")</f>
        <v>20</v>
      </c>
    </row>
    <row r="30" customFormat="false" ht="15" hidden="false" customHeight="false" outlineLevel="0" collapsed="false">
      <c r="A30" s="10" t="s">
        <v>100</v>
      </c>
      <c r="B30" s="10" t="str">
        <f aca="false">01_Country_Register!K11</f>
        <v>P1 Governance and inception</v>
      </c>
      <c r="C30" s="33" t="n">
        <f aca="false">04_Matrix_View!I42</f>
        <v>0.0645161290322581</v>
      </c>
      <c r="D30" s="33" t="n">
        <f aca="false">04_Matrix_View!I43</f>
        <v>0.0806451612903226</v>
      </c>
      <c r="E30" s="14" t="n">
        <f aca="false">COUNTIFS(09_Risk_Register!$C$6:$C$105,$A30,09_Risk_Register!$L$6:$L$105,"&lt;&gt;Closed")</f>
        <v>1</v>
      </c>
      <c r="F30" s="14" t="n">
        <f aca="false">IFERROR(SUMPRODUCT(MAX((09_Risk_Register!$C$6:$C$105=$A30)*IF(09_Risk_Register!$H$6:$H$105="",0,09_Risk_Register!$H$6:$H$105))),"")</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6"/>
    <col collapsed="false" customWidth="true" hidden="false" outlineLevel="0" max="5" min="5" style="0" width="46"/>
    <col collapsed="false" customWidth="true" hidden="false" outlineLevel="0" max="7" min="6" style="0" width="12"/>
    <col collapsed="false" customWidth="true" hidden="false" outlineLevel="0" max="8" min="8" style="0" width="11"/>
    <col collapsed="false" customWidth="true" hidden="false" outlineLevel="0" max="9" min="9" style="0" width="12"/>
    <col collapsed="false" customWidth="true" hidden="false" outlineLevel="0" max="10" min="10" style="0" width="52"/>
    <col collapsed="false" customWidth="true" hidden="false" outlineLevel="0" max="11" min="11" style="0" width="24"/>
    <col collapsed="false" customWidth="true" hidden="false" outlineLevel="0" max="13" min="12" style="0" width="12"/>
    <col collapsed="false" customWidth="true" hidden="false" outlineLevel="0" max="14" min="14" style="0" width="14"/>
    <col collapsed="false" customWidth="true" hidden="false" outlineLevel="0" max="15" min="15" style="0" width="12"/>
  </cols>
  <sheetData>
    <row r="1" customFormat="false" ht="17.35" hidden="false" customHeight="false" outlineLevel="0" collapsed="false">
      <c r="A1" s="7" t="s">
        <v>60</v>
      </c>
    </row>
    <row r="2" customFormat="false" ht="15" hidden="false" customHeight="false" outlineLevel="0" collapsed="false">
      <c r="A2" s="8" t="s">
        <v>774</v>
      </c>
    </row>
    <row r="3" customFormat="false" ht="15" hidden="false" customHeight="false" outlineLevel="0" collapsed="false">
      <c r="A3" s="3" t="s">
        <v>62</v>
      </c>
    </row>
    <row r="5" customFormat="false" ht="31.5" hidden="false" customHeight="true" outlineLevel="0" collapsed="false">
      <c r="A5" s="9" t="s">
        <v>775</v>
      </c>
      <c r="B5" s="9" t="s">
        <v>776</v>
      </c>
      <c r="C5" s="9" t="s">
        <v>277</v>
      </c>
      <c r="D5" s="9" t="s">
        <v>619</v>
      </c>
      <c r="E5" s="9" t="s">
        <v>777</v>
      </c>
      <c r="F5" s="9" t="s">
        <v>778</v>
      </c>
      <c r="G5" s="9" t="s">
        <v>779</v>
      </c>
      <c r="H5" s="9" t="s">
        <v>780</v>
      </c>
      <c r="I5" s="9" t="s">
        <v>781</v>
      </c>
      <c r="J5" s="9" t="s">
        <v>782</v>
      </c>
      <c r="K5" s="9" t="s">
        <v>783</v>
      </c>
      <c r="L5" s="9" t="s">
        <v>784</v>
      </c>
      <c r="M5" s="9" t="s">
        <v>280</v>
      </c>
      <c r="N5" s="9" t="s">
        <v>785</v>
      </c>
      <c r="O5" s="9" t="s">
        <v>786</v>
      </c>
    </row>
    <row r="6" customFormat="false" ht="35.05" hidden="false" customHeight="false" outlineLevel="0" collapsed="false">
      <c r="A6" s="10" t="s">
        <v>787</v>
      </c>
      <c r="B6" s="12"/>
      <c r="C6" s="11" t="s">
        <v>78</v>
      </c>
      <c r="D6" s="11" t="s">
        <v>788</v>
      </c>
      <c r="E6" s="11" t="s">
        <v>789</v>
      </c>
      <c r="F6" s="13" t="n">
        <v>3</v>
      </c>
      <c r="G6" s="13" t="n">
        <v>3</v>
      </c>
      <c r="H6" s="18" t="n">
        <f aca="false">F6*G6</f>
        <v>9</v>
      </c>
      <c r="I6" s="14" t="str">
        <f aca="false">IF(H6="","",IF(H6&gt;=15,"Extreme",IF(H6&gt;=12,"High",IF(H6&gt;=6,"Moderate","Low"))))</f>
        <v>Moderate</v>
      </c>
      <c r="J6" s="11" t="s">
        <v>790</v>
      </c>
      <c r="K6" s="11" t="s">
        <v>791</v>
      </c>
      <c r="L6" s="12" t="n">
        <v>45448</v>
      </c>
      <c r="M6" s="11" t="s">
        <v>792</v>
      </c>
      <c r="N6" s="12"/>
      <c r="O6" s="13"/>
    </row>
    <row r="7" customFormat="false" ht="35.05" hidden="false" customHeight="false" outlineLevel="0" collapsed="false">
      <c r="A7" s="10" t="s">
        <v>793</v>
      </c>
      <c r="B7" s="12"/>
      <c r="C7" s="11" t="s">
        <v>86</v>
      </c>
      <c r="D7" s="11" t="s">
        <v>794</v>
      </c>
      <c r="E7" s="11" t="s">
        <v>795</v>
      </c>
      <c r="F7" s="13" t="n">
        <v>4</v>
      </c>
      <c r="G7" s="13" t="n">
        <v>4</v>
      </c>
      <c r="H7" s="18" t="n">
        <f aca="false">F7*G7</f>
        <v>16</v>
      </c>
      <c r="I7" s="14" t="str">
        <f aca="false">IF(H7="","",IF(H7&gt;=15,"Extreme",IF(H7&gt;=12,"High",IF(H7&gt;=6,"Moderate","Low"))))</f>
        <v>Extreme</v>
      </c>
      <c r="J7" s="11" t="s">
        <v>796</v>
      </c>
      <c r="K7" s="11" t="s">
        <v>797</v>
      </c>
      <c r="L7" s="12" t="n">
        <v>45458</v>
      </c>
      <c r="M7" s="11" t="s">
        <v>792</v>
      </c>
      <c r="N7" s="12"/>
      <c r="O7" s="13"/>
    </row>
    <row r="8" customFormat="false" ht="35.05" hidden="false" customHeight="false" outlineLevel="0" collapsed="false">
      <c r="A8" s="10" t="s">
        <v>798</v>
      </c>
      <c r="B8" s="12"/>
      <c r="C8" s="11" t="s">
        <v>90</v>
      </c>
      <c r="D8" s="11" t="s">
        <v>799</v>
      </c>
      <c r="E8" s="11" t="s">
        <v>800</v>
      </c>
      <c r="F8" s="13" t="n">
        <v>3</v>
      </c>
      <c r="G8" s="13" t="n">
        <v>3</v>
      </c>
      <c r="H8" s="18" t="n">
        <f aca="false">F8*G8</f>
        <v>9</v>
      </c>
      <c r="I8" s="14" t="str">
        <f aca="false">IF(H8="","",IF(H8&gt;=15,"Extreme",IF(H8&gt;=12,"High",IF(H8&gt;=6,"Moderate","Low"))))</f>
        <v>Moderate</v>
      </c>
      <c r="J8" s="11" t="s">
        <v>801</v>
      </c>
      <c r="K8" s="11" t="s">
        <v>222</v>
      </c>
      <c r="L8" s="12" t="n">
        <v>45442</v>
      </c>
      <c r="M8" s="11" t="s">
        <v>802</v>
      </c>
      <c r="N8" s="12"/>
      <c r="O8" s="13"/>
    </row>
    <row r="9" customFormat="false" ht="35.05" hidden="false" customHeight="false" outlineLevel="0" collapsed="false">
      <c r="A9" s="10" t="s">
        <v>803</v>
      </c>
      <c r="B9" s="12"/>
      <c r="C9" s="11" t="s">
        <v>94</v>
      </c>
      <c r="D9" s="11" t="s">
        <v>804</v>
      </c>
      <c r="E9" s="11" t="s">
        <v>805</v>
      </c>
      <c r="F9" s="13" t="n">
        <v>4</v>
      </c>
      <c r="G9" s="13" t="n">
        <v>4</v>
      </c>
      <c r="H9" s="18" t="n">
        <f aca="false">F9*G9</f>
        <v>16</v>
      </c>
      <c r="I9" s="14" t="str">
        <f aca="false">IF(H9="","",IF(H9&gt;=15,"Extreme",IF(H9&gt;=12,"High",IF(H9&gt;=6,"Moderate","Low"))))</f>
        <v>Extreme</v>
      </c>
      <c r="J9" s="11" t="s">
        <v>806</v>
      </c>
      <c r="K9" s="11" t="s">
        <v>807</v>
      </c>
      <c r="L9" s="12" t="n">
        <v>45463</v>
      </c>
      <c r="M9" s="11" t="s">
        <v>792</v>
      </c>
      <c r="N9" s="12"/>
      <c r="O9" s="13"/>
    </row>
    <row r="10" customFormat="false" ht="35.05" hidden="false" customHeight="false" outlineLevel="0" collapsed="false">
      <c r="A10" s="10" t="s">
        <v>808</v>
      </c>
      <c r="B10" s="12"/>
      <c r="C10" s="11" t="s">
        <v>97</v>
      </c>
      <c r="D10" s="11" t="s">
        <v>809</v>
      </c>
      <c r="E10" s="11" t="s">
        <v>810</v>
      </c>
      <c r="F10" s="13" t="n">
        <v>4</v>
      </c>
      <c r="G10" s="13" t="n">
        <v>5</v>
      </c>
      <c r="H10" s="18" t="n">
        <f aca="false">F10*G10</f>
        <v>20</v>
      </c>
      <c r="I10" s="14" t="str">
        <f aca="false">IF(H10="","",IF(H10&gt;=15,"Extreme",IF(H10&gt;=12,"High",IF(H10&gt;=6,"Moderate","Low"))))</f>
        <v>Extreme</v>
      </c>
      <c r="J10" s="11" t="s">
        <v>811</v>
      </c>
      <c r="K10" s="11" t="s">
        <v>812</v>
      </c>
      <c r="L10" s="12" t="n">
        <v>45437</v>
      </c>
      <c r="M10" s="11" t="s">
        <v>792</v>
      </c>
      <c r="N10" s="12"/>
      <c r="O10" s="13"/>
    </row>
    <row r="11" customFormat="false" ht="35.05" hidden="false" customHeight="false" outlineLevel="0" collapsed="false">
      <c r="A11" s="10" t="s">
        <v>813</v>
      </c>
      <c r="B11" s="12"/>
      <c r="C11" s="11" t="s">
        <v>100</v>
      </c>
      <c r="D11" s="11" t="s">
        <v>814</v>
      </c>
      <c r="E11" s="11" t="s">
        <v>815</v>
      </c>
      <c r="F11" s="13" t="n">
        <v>3</v>
      </c>
      <c r="G11" s="13" t="n">
        <v>3</v>
      </c>
      <c r="H11" s="18" t="n">
        <f aca="false">F11*G11</f>
        <v>9</v>
      </c>
      <c r="I11" s="14" t="str">
        <f aca="false">IF(H11="","",IF(H11&gt;=15,"Extreme",IF(H11&gt;=12,"High",IF(H11&gt;=6,"Moderate","Low"))))</f>
        <v>Moderate</v>
      </c>
      <c r="J11" s="11" t="s">
        <v>816</v>
      </c>
      <c r="K11" s="11" t="s">
        <v>817</v>
      </c>
      <c r="L11" s="12" t="n">
        <v>45453</v>
      </c>
      <c r="M11" s="11" t="s">
        <v>792</v>
      </c>
      <c r="N11" s="12"/>
      <c r="O11" s="13"/>
    </row>
    <row r="12" customFormat="false" ht="23.85" hidden="false" customHeight="false" outlineLevel="0" collapsed="false">
      <c r="A12" s="10" t="s">
        <v>818</v>
      </c>
      <c r="B12" s="12"/>
      <c r="C12" s="11" t="s">
        <v>819</v>
      </c>
      <c r="D12" s="11" t="s">
        <v>820</v>
      </c>
      <c r="E12" s="11" t="s">
        <v>821</v>
      </c>
      <c r="F12" s="13" t="n">
        <v>4</v>
      </c>
      <c r="G12" s="13" t="n">
        <v>4</v>
      </c>
      <c r="H12" s="18" t="n">
        <f aca="false">F12*G12</f>
        <v>16</v>
      </c>
      <c r="I12" s="14" t="str">
        <f aca="false">IF(H12="","",IF(H12&gt;=15,"Extreme",IF(H12&gt;=12,"High",IF(H12&gt;=6,"Moderate","Low"))))</f>
        <v>Extreme</v>
      </c>
      <c r="J12" s="11" t="s">
        <v>822</v>
      </c>
      <c r="K12" s="11" t="s">
        <v>823</v>
      </c>
      <c r="L12" s="12"/>
      <c r="M12" s="11" t="s">
        <v>792</v>
      </c>
      <c r="N12" s="12"/>
      <c r="O12" s="13"/>
    </row>
    <row r="13" customFormat="false" ht="46.25" hidden="false" customHeight="false" outlineLevel="0" collapsed="false">
      <c r="A13" s="10" t="s">
        <v>824</v>
      </c>
      <c r="B13" s="12"/>
      <c r="C13" s="11" t="s">
        <v>819</v>
      </c>
      <c r="D13" s="11" t="s">
        <v>825</v>
      </c>
      <c r="E13" s="11" t="s">
        <v>826</v>
      </c>
      <c r="F13" s="13" t="n">
        <v>4</v>
      </c>
      <c r="G13" s="13" t="n">
        <v>4</v>
      </c>
      <c r="H13" s="18" t="n">
        <f aca="false">F13*G13</f>
        <v>16</v>
      </c>
      <c r="I13" s="14" t="str">
        <f aca="false">IF(H13="","",IF(H13&gt;=15,"Extreme",IF(H13&gt;=12,"High",IF(H13&gt;=6,"Moderate","Low"))))</f>
        <v>Extreme</v>
      </c>
      <c r="J13" s="11" t="s">
        <v>827</v>
      </c>
      <c r="K13" s="11" t="s">
        <v>823</v>
      </c>
      <c r="L13" s="12"/>
      <c r="M13" s="11" t="s">
        <v>792</v>
      </c>
      <c r="N13" s="12"/>
      <c r="O13" s="13"/>
    </row>
    <row r="15" customFormat="false" ht="15" hidden="false" customHeight="false" outlineLevel="0" collapsed="false">
      <c r="A15" s="3" t="s">
        <v>828</v>
      </c>
    </row>
  </sheetData>
  <conditionalFormatting sqref="H6:H13">
    <cfRule type="cellIs" priority="2" operator="greaterThanOrEqual" aboveAverage="0" equalAverage="0" bottom="0" percent="0" rank="0" text="" dxfId="9">
      <formula>12</formula>
    </cfRule>
  </conditionalFormatting>
  <dataValidations count="2">
    <dataValidation allowBlank="true" errorStyle="stop" operator="between" showDropDown="false" showErrorMessage="false" showInputMessage="false" sqref="F6:G33" type="list">
      <formula1>"1,2,3,4,5"</formula1>
      <formula2>0</formula2>
    </dataValidation>
    <dataValidation allowBlank="true" errorStyle="stop" operator="between" showDropDown="false" showErrorMessage="false" showInputMessage="false" sqref="M6:M33" type="list">
      <formula1>"Open,In progress,Escalated,Closed"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62"/>
    <col collapsed="false" customWidth="true" hidden="false" outlineLevel="0" max="6" min="6" style="0" width="56"/>
    <col collapsed="false" customWidth="true" hidden="false" outlineLevel="0" max="7" min="7" style="0" width="14"/>
    <col collapsed="false" customWidth="true" hidden="false" outlineLevel="0" max="8" min="8" style="0" width="20"/>
    <col collapsed="false" customWidth="true" hidden="false" outlineLevel="0" max="9" min="9" style="0" width="13"/>
  </cols>
  <sheetData>
    <row r="1" customFormat="false" ht="17.35" hidden="false" customHeight="false" outlineLevel="0" collapsed="false">
      <c r="A1" s="7" t="s">
        <v>60</v>
      </c>
    </row>
    <row r="2" customFormat="false" ht="15" hidden="false" customHeight="false" outlineLevel="0" collapsed="false">
      <c r="A2" s="8" t="s">
        <v>829</v>
      </c>
    </row>
    <row r="3" customFormat="false" ht="15" hidden="false" customHeight="false" outlineLevel="0" collapsed="false">
      <c r="A3" s="3" t="s">
        <v>62</v>
      </c>
    </row>
    <row r="5" customFormat="false" ht="31.5" hidden="false" customHeight="true" outlineLevel="0" collapsed="false">
      <c r="A5" s="9" t="s">
        <v>830</v>
      </c>
      <c r="B5" s="9" t="s">
        <v>831</v>
      </c>
      <c r="C5" s="9" t="s">
        <v>832</v>
      </c>
      <c r="D5" s="9" t="s">
        <v>833</v>
      </c>
      <c r="E5" s="9" t="s">
        <v>834</v>
      </c>
      <c r="F5" s="9" t="s">
        <v>835</v>
      </c>
      <c r="G5" s="9" t="s">
        <v>280</v>
      </c>
      <c r="H5" s="9" t="s">
        <v>783</v>
      </c>
      <c r="I5" s="9" t="s">
        <v>836</v>
      </c>
    </row>
    <row r="6" customFormat="false" ht="23.85" hidden="false" customHeight="false" outlineLevel="0" collapsed="false">
      <c r="A6" s="10" t="s">
        <v>837</v>
      </c>
      <c r="B6" s="10" t="s">
        <v>838</v>
      </c>
      <c r="C6" s="10" t="s">
        <v>399</v>
      </c>
      <c r="D6" s="10" t="s">
        <v>839</v>
      </c>
      <c r="E6" s="10" t="s">
        <v>840</v>
      </c>
      <c r="F6" s="10" t="s">
        <v>841</v>
      </c>
      <c r="G6" s="11" t="s">
        <v>842</v>
      </c>
      <c r="H6" s="11"/>
      <c r="I6" s="12"/>
    </row>
    <row r="7" customFormat="false" ht="35.05" hidden="false" customHeight="false" outlineLevel="0" collapsed="false">
      <c r="A7" s="10" t="s">
        <v>843</v>
      </c>
      <c r="B7" s="10" t="s">
        <v>838</v>
      </c>
      <c r="C7" s="10" t="s">
        <v>844</v>
      </c>
      <c r="D7" s="10" t="s">
        <v>845</v>
      </c>
      <c r="E7" s="10" t="s">
        <v>846</v>
      </c>
      <c r="F7" s="10" t="s">
        <v>847</v>
      </c>
      <c r="G7" s="11" t="s">
        <v>842</v>
      </c>
      <c r="H7" s="11"/>
      <c r="I7" s="12"/>
    </row>
    <row r="8" customFormat="false" ht="23.85" hidden="false" customHeight="false" outlineLevel="0" collapsed="false">
      <c r="A8" s="10" t="s">
        <v>848</v>
      </c>
      <c r="B8" s="10" t="s">
        <v>849</v>
      </c>
      <c r="C8" s="10" t="s">
        <v>850</v>
      </c>
      <c r="D8" s="10" t="s">
        <v>851</v>
      </c>
      <c r="E8" s="10" t="s">
        <v>852</v>
      </c>
      <c r="F8" s="10" t="s">
        <v>853</v>
      </c>
      <c r="G8" s="11" t="s">
        <v>842</v>
      </c>
      <c r="H8" s="11"/>
      <c r="I8" s="12"/>
    </row>
    <row r="9" customFormat="false" ht="23.85" hidden="false" customHeight="false" outlineLevel="0" collapsed="false">
      <c r="A9" s="10" t="s">
        <v>854</v>
      </c>
      <c r="B9" s="10" t="s">
        <v>855</v>
      </c>
      <c r="C9" s="10" t="s">
        <v>856</v>
      </c>
      <c r="D9" s="10" t="s">
        <v>857</v>
      </c>
      <c r="E9" s="10" t="s">
        <v>858</v>
      </c>
      <c r="F9" s="10" t="s">
        <v>859</v>
      </c>
      <c r="G9" s="11" t="s">
        <v>842</v>
      </c>
      <c r="H9" s="11"/>
      <c r="I9" s="12"/>
    </row>
    <row r="10" customFormat="false" ht="15" hidden="false" customHeight="false" outlineLevel="0" collapsed="false">
      <c r="A10" s="10" t="s">
        <v>860</v>
      </c>
      <c r="B10" s="10" t="s">
        <v>861</v>
      </c>
      <c r="C10" s="10" t="s">
        <v>862</v>
      </c>
      <c r="D10" s="10" t="s">
        <v>845</v>
      </c>
      <c r="E10" s="10" t="s">
        <v>863</v>
      </c>
      <c r="F10" s="10" t="s">
        <v>864</v>
      </c>
      <c r="G10" s="11" t="s">
        <v>842</v>
      </c>
      <c r="H10" s="11"/>
      <c r="I10" s="12"/>
    </row>
    <row r="11" customFormat="false" ht="23.85" hidden="false" customHeight="false" outlineLevel="0" collapsed="false">
      <c r="A11" s="10" t="s">
        <v>865</v>
      </c>
      <c r="B11" s="10" t="s">
        <v>849</v>
      </c>
      <c r="C11" s="10" t="s">
        <v>866</v>
      </c>
      <c r="D11" s="10" t="s">
        <v>845</v>
      </c>
      <c r="E11" s="10" t="s">
        <v>867</v>
      </c>
      <c r="F11" s="10" t="s">
        <v>868</v>
      </c>
      <c r="G11" s="11" t="s">
        <v>792</v>
      </c>
      <c r="H11" s="11"/>
      <c r="I11" s="12"/>
    </row>
    <row r="12" customFormat="false" ht="23.85" hidden="false" customHeight="false" outlineLevel="0" collapsed="false">
      <c r="A12" s="10" t="s">
        <v>869</v>
      </c>
      <c r="B12" s="10" t="s">
        <v>861</v>
      </c>
      <c r="C12" s="10" t="s">
        <v>870</v>
      </c>
      <c r="D12" s="10" t="s">
        <v>871</v>
      </c>
      <c r="E12" s="10" t="s">
        <v>872</v>
      </c>
      <c r="F12" s="10" t="s">
        <v>873</v>
      </c>
      <c r="G12" s="11" t="s">
        <v>792</v>
      </c>
      <c r="H12" s="11"/>
      <c r="I12" s="12"/>
    </row>
    <row r="13" customFormat="false" ht="23.85" hidden="false" customHeight="false" outlineLevel="0" collapsed="false">
      <c r="A13" s="10" t="s">
        <v>874</v>
      </c>
      <c r="B13" s="10" t="s">
        <v>849</v>
      </c>
      <c r="C13" s="10" t="s">
        <v>875</v>
      </c>
      <c r="D13" s="10" t="s">
        <v>446</v>
      </c>
      <c r="E13" s="10" t="s">
        <v>876</v>
      </c>
      <c r="F13" s="10" t="s">
        <v>877</v>
      </c>
      <c r="G13" s="11" t="s">
        <v>842</v>
      </c>
      <c r="H13" s="11"/>
      <c r="I13" s="12"/>
    </row>
    <row r="14" customFormat="false" ht="23.85" hidden="false" customHeight="false" outlineLevel="0" collapsed="false">
      <c r="A14" s="10" t="s">
        <v>878</v>
      </c>
      <c r="B14" s="10" t="s">
        <v>879</v>
      </c>
      <c r="C14" s="10" t="s">
        <v>880</v>
      </c>
      <c r="D14" s="10" t="s">
        <v>881</v>
      </c>
      <c r="E14" s="10" t="s">
        <v>882</v>
      </c>
      <c r="F14" s="10" t="s">
        <v>883</v>
      </c>
      <c r="G14" s="11" t="s">
        <v>792</v>
      </c>
      <c r="H14" s="11"/>
      <c r="I14" s="12"/>
    </row>
    <row r="15" customFormat="false" ht="23.85" hidden="false" customHeight="false" outlineLevel="0" collapsed="false">
      <c r="A15" s="10" t="s">
        <v>884</v>
      </c>
      <c r="B15" s="10" t="s">
        <v>885</v>
      </c>
      <c r="C15" s="10" t="s">
        <v>870</v>
      </c>
      <c r="D15" s="10" t="s">
        <v>881</v>
      </c>
      <c r="E15" s="10" t="s">
        <v>886</v>
      </c>
      <c r="F15" s="10" t="s">
        <v>887</v>
      </c>
      <c r="G15" s="11" t="s">
        <v>792</v>
      </c>
      <c r="H15" s="11"/>
      <c r="I15"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30"/>
  </cols>
  <sheetData>
    <row r="1" customFormat="false" ht="17.35" hidden="false" customHeight="false" outlineLevel="0" collapsed="false">
      <c r="A1" s="7" t="s">
        <v>60</v>
      </c>
    </row>
    <row r="2" customFormat="false" ht="15" hidden="false" customHeight="false" outlineLevel="0" collapsed="false">
      <c r="A2" s="8" t="s">
        <v>888</v>
      </c>
    </row>
    <row r="3" customFormat="false" ht="15" hidden="false" customHeight="false" outlineLevel="0" collapsed="false">
      <c r="A3" s="3" t="s">
        <v>62</v>
      </c>
    </row>
    <row r="5" customFormat="false" ht="15" hidden="false" customHeight="false" outlineLevel="0" collapsed="false">
      <c r="A5" s="9" t="s">
        <v>889</v>
      </c>
      <c r="B5" s="9" t="s">
        <v>890</v>
      </c>
      <c r="C5" s="9" t="s">
        <v>65</v>
      </c>
      <c r="D5" s="9" t="s">
        <v>66</v>
      </c>
      <c r="E5" s="9" t="s">
        <v>891</v>
      </c>
      <c r="F5" s="9" t="s">
        <v>107</v>
      </c>
      <c r="G5" s="9" t="s">
        <v>892</v>
      </c>
      <c r="H5" s="9" t="s">
        <v>324</v>
      </c>
    </row>
    <row r="6" customFormat="false" ht="15" hidden="false" customHeight="false" outlineLevel="0" collapsed="false">
      <c r="A6" s="34" t="s">
        <v>288</v>
      </c>
      <c r="B6" s="34" t="s">
        <v>893</v>
      </c>
      <c r="C6" s="34" t="s">
        <v>79</v>
      </c>
      <c r="D6" s="34" t="s">
        <v>80</v>
      </c>
      <c r="E6" s="34" t="s">
        <v>894</v>
      </c>
      <c r="F6" s="34" t="s">
        <v>103</v>
      </c>
      <c r="G6" s="34" t="s">
        <v>792</v>
      </c>
      <c r="H6" s="34" t="s">
        <v>895</v>
      </c>
    </row>
    <row r="7" customFormat="false" ht="15" hidden="false" customHeight="false" outlineLevel="0" collapsed="false">
      <c r="A7" s="34" t="s">
        <v>292</v>
      </c>
      <c r="B7" s="34" t="s">
        <v>802</v>
      </c>
      <c r="C7" s="34" t="s">
        <v>101</v>
      </c>
      <c r="D7" s="34" t="s">
        <v>896</v>
      </c>
      <c r="E7" s="34" t="s">
        <v>897</v>
      </c>
      <c r="F7" s="34" t="s">
        <v>88</v>
      </c>
      <c r="G7" s="34" t="s">
        <v>802</v>
      </c>
      <c r="H7" s="34" t="s">
        <v>336</v>
      </c>
    </row>
    <row r="8" customFormat="false" ht="15" hidden="false" customHeight="false" outlineLevel="0" collapsed="false">
      <c r="A8" s="34" t="s">
        <v>290</v>
      </c>
      <c r="B8" s="34" t="s">
        <v>898</v>
      </c>
      <c r="C8" s="34" t="s">
        <v>899</v>
      </c>
      <c r="D8" s="34" t="s">
        <v>900</v>
      </c>
      <c r="E8" s="34" t="s">
        <v>901</v>
      </c>
      <c r="F8" s="34" t="s">
        <v>83</v>
      </c>
      <c r="G8" s="34" t="s">
        <v>902</v>
      </c>
      <c r="H8" s="34" t="s">
        <v>903</v>
      </c>
    </row>
    <row r="9" customFormat="false" ht="15" hidden="false" customHeight="false" outlineLevel="0" collapsed="false">
      <c r="A9" s="34" t="s">
        <v>293</v>
      </c>
      <c r="B9" s="34" t="s">
        <v>904</v>
      </c>
      <c r="D9" s="34" t="s">
        <v>905</v>
      </c>
      <c r="E9" s="34" t="s">
        <v>906</v>
      </c>
      <c r="F9" s="34" t="s">
        <v>92</v>
      </c>
      <c r="G9" s="34" t="s">
        <v>907</v>
      </c>
      <c r="H9" s="34" t="s">
        <v>908</v>
      </c>
    </row>
    <row r="10" customFormat="false" ht="15" hidden="false" customHeight="false" outlineLevel="0" collapsed="false">
      <c r="A10" s="34" t="s">
        <v>909</v>
      </c>
      <c r="B10" s="34" t="s">
        <v>536</v>
      </c>
      <c r="E10" s="34" t="s">
        <v>910</v>
      </c>
      <c r="F10" s="34" t="s">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2026-09-07T20:38:18Z</dcterms:created>
  <dc:creator>openpyxl</dc:creator>
  <dc:description/>
  <dc:language>en-US</dc:language>
  <cp:lastModifiedBy/>
  <dcterms:modified xsi:type="dcterms:W3CDTF">2026-09-07T20:38:19Z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